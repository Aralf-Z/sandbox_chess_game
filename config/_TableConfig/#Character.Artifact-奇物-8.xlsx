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80" windowHeight="14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<sst xmlns="http://schemas.openxmlformats.org/spreadsheetml/2006/main" count="37" uniqueCount="29">
  <si>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##var</t>
  </si>
  <si>
    <t>id</t>
  </si>
  <si>
    <t>name</t>
  </si>
  <si>
    <t>type_info</t>
  </si>
  <si>
    <t>##价格</t>
  </si>
  <si>
    <t>price</t>
  </si>
  <si>
    <t>description</t>
  </si>
  <si>
    <t>##type</t>
  </si>
  <si>
    <t>int</t>
  </si>
  <si>
    <t>string</t>
  </si>
  <si>
    <t>Character.ItemInfo</t>
  </si>
  <si>
    <t>$type</t>
  </si>
  <si>
    <t>##</t>
  </si>
  <si>
    <t>唯一id</t>
  </si>
  <si>
    <t>#id别名</t>
  </si>
  <si>
    <t>名称</t>
  </si>
  <si>
    <t>奇物信息</t>
  </si>
  <si>
    <t>信息内容</t>
  </si>
  <si>
    <t>铜币(cp)</t>
  </si>
  <si>
    <t>银币(sp)</t>
  </si>
  <si>
    <t>银金币(ep)</t>
  </si>
  <si>
    <t>金币(gp)</t>
  </si>
  <si>
    <t>铂金币(pp)</t>
  </si>
  <si>
    <t>价格</t>
  </si>
  <si>
    <t>文本描述</t>
  </si>
  <si>
    <t>治疗药水</t>
  </si>
  <si>
    <t>高等治疗药水</t>
  </si>
  <si>
    <t>特效治疗药水</t>
  </si>
  <si>
    <t>极效治疗药水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</si>
</sst>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2" borderId="1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 wrapText="1"/>
    </xf>
    <xf numFmtId="0" fontId="1" fillId="2" borderId="1" xfId="17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1" fillId="2" borderId="2" xfId="17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M17" sqref="M17"/>
    </sheetView>
  </sheetViews>
  <sheetFormatPr defaultColWidth="9" defaultRowHeight="14.5"/>
  <cols>
    <col min="3" max="4" width="14" customWidth="1"/>
    <col min="13" max="13" width="33.6363636363636" customWidth="1"/>
  </cols>
  <sheetData>
    <row r="1" spans="1:13">
      <c r="A1" s="1" t="s">
        <v>0</v>
      </c>
      <c r="B1" s="2" t="s">
        <v>1</v>
      </c>
      <c r="C1" s="2"/>
      <c r="D1" s="1" t="s">
        <v>2</v>
      </c>
      <c r="E1" s="2" t="s">
        <v>3</v>
      </c>
      <c r="F1" s="2"/>
      <c r="G1" s="3" t="s">
        <v>4</v>
      </c>
      <c r="H1" s="3"/>
      <c r="I1" s="3"/>
      <c r="J1" s="3"/>
      <c r="K1" s="6"/>
      <c r="L1" s="4" t="s">
        <v>5</v>
      </c>
      <c r="M1" s="4" t="s">
        <v>6</v>
      </c>
    </row>
    <row r="2" spans="1:13">
      <c r="A2" s="1" t="s">
        <v>7</v>
      </c>
      <c r="B2" s="2" t="s">
        <v>8</v>
      </c>
      <c r="C2" s="2"/>
      <c r="D2" s="1" t="s">
        <v>9</v>
      </c>
      <c r="E2" s="2" t="s">
        <v>10</v>
      </c>
      <c r="F2" s="2"/>
      <c r="G2" s="3"/>
      <c r="H2" s="3"/>
      <c r="I2" s="3"/>
      <c r="J2" s="3"/>
      <c r="K2" s="6"/>
      <c r="L2" s="4" t="s">
        <v>8</v>
      </c>
      <c r="M2" s="4" t="s">
        <v>9</v>
      </c>
    </row>
    <row r="3" spans="1:13">
      <c r="A3" s="1" t="s">
        <v>7</v>
      </c>
      <c r="B3" s="1"/>
      <c r="C3" s="1"/>
      <c r="D3" s="1"/>
      <c r="E3" s="1" t="s">
        <v>11</v>
      </c>
      <c r="F3" s="4"/>
      <c r="G3" s="3"/>
      <c r="H3" s="3"/>
      <c r="I3" s="3"/>
      <c r="J3" s="3"/>
      <c r="K3" s="6"/>
      <c r="L3" s="4"/>
      <c r="M3" s="4"/>
    </row>
    <row r="4" spans="1:13">
      <c r="A4" s="1" t="s">
        <v>7</v>
      </c>
      <c r="B4" s="1"/>
      <c r="C4" s="1"/>
      <c r="D4" s="1"/>
      <c r="E4" s="1"/>
      <c r="F4" s="4"/>
      <c r="G4" s="3"/>
      <c r="H4" s="3"/>
      <c r="I4" s="3"/>
      <c r="J4" s="3"/>
      <c r="K4" s="6"/>
      <c r="L4" s="4"/>
      <c r="M4" s="4"/>
    </row>
    <row r="5" ht="28" spans="1:1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6" t="s">
        <v>22</v>
      </c>
      <c r="L5" s="4" t="s">
        <v>23</v>
      </c>
      <c r="M5" s="4" t="s">
        <v>24</v>
      </c>
    </row>
    <row r="6" spans="1:13">
      <c r="A6" s="5"/>
      <c r="B6" s="5">
        <v>80001</v>
      </c>
      <c r="C6" s="5" t="str">
        <f>D6</f>
        <v>治疗药水</v>
      </c>
      <c r="D6" s="5" t="s">
        <v>25</v>
      </c>
      <c r="E6" s="5" t="s">
        <v>16</v>
      </c>
      <c r="F6" s="5"/>
      <c r="G6" s="5"/>
      <c r="H6" s="5"/>
      <c r="I6" s="5"/>
      <c r="J6" s="5">
        <v>10</v>
      </c>
      <c r="K6" s="5"/>
      <c r="L6" s="5">
        <f t="shared" ref="L6:L9" si="0">G6+10*H6+50*I6+100*J6+1000*K6</f>
        <v>1000</v>
      </c>
      <c r="M6" s="7" t="str">
        <f t="shared" ref="M6:M9" si="1">"这是关于“"&amp;D6&amp;"”的描述。"</f>
        <v>这是关于“治疗药水”的描述。</v>
      </c>
    </row>
    <row r="7" spans="1:13">
      <c r="A7" s="5"/>
      <c r="B7" s="5">
        <v>80002</v>
      </c>
      <c r="C7" s="5" t="str">
        <f>D7</f>
        <v>高等治疗药水</v>
      </c>
      <c r="D7" s="5" t="s">
        <v>26</v>
      </c>
      <c r="E7" s="5" t="s">
        <v>16</v>
      </c>
      <c r="F7" s="5"/>
      <c r="G7" s="5"/>
      <c r="H7" s="5"/>
      <c r="I7" s="5"/>
      <c r="J7" s="5">
        <v>16</v>
      </c>
      <c r="K7" s="5"/>
      <c r="L7" s="5">
        <f t="shared" si="0"/>
        <v>1600</v>
      </c>
      <c r="M7" s="7" t="str">
        <f t="shared" si="1"/>
        <v>这是关于“高等治疗药水”的描述。</v>
      </c>
    </row>
    <row r="8" spans="1:13">
      <c r="A8" s="5"/>
      <c r="B8" s="5">
        <v>80003</v>
      </c>
      <c r="C8" s="5" t="str">
        <f>D8</f>
        <v>特效治疗药水</v>
      </c>
      <c r="D8" s="5" t="s">
        <v>27</v>
      </c>
      <c r="E8" s="5" t="s">
        <v>16</v>
      </c>
      <c r="F8" s="5"/>
      <c r="G8" s="5"/>
      <c r="H8" s="5"/>
      <c r="I8" s="5"/>
      <c r="J8" s="5">
        <v>25</v>
      </c>
      <c r="K8" s="5"/>
      <c r="L8" s="5">
        <f t="shared" si="0"/>
        <v>2500</v>
      </c>
      <c r="M8" s="7" t="str">
        <f t="shared" si="1"/>
        <v>这是关于“特效治疗药水”的描述。</v>
      </c>
    </row>
    <row r="9" spans="1:13">
      <c r="A9" s="5"/>
      <c r="B9" s="5">
        <v>80004</v>
      </c>
      <c r="C9" s="5" t="str">
        <f>D9</f>
        <v>极效治疗药水</v>
      </c>
      <c r="D9" s="5" t="s">
        <v>28</v>
      </c>
      <c r="E9" s="5" t="s">
        <v>16</v>
      </c>
      <c r="F9" s="5"/>
      <c r="G9" s="5"/>
      <c r="H9" s="5"/>
      <c r="I9" s="5"/>
      <c r="J9" s="5">
        <v>45</v>
      </c>
      <c r="K9" s="5"/>
      <c r="L9" s="5">
        <f t="shared" si="0"/>
        <v>4500</v>
      </c>
      <c r="M9" s="7" t="str">
        <f t="shared" si="1"/>
        <v>这是关于“极效治疗药水”的描述。</v>
      </c>
    </row>
  </sheetData>
  <mergeCells count="5">
    <mergeCell ref="B1:C1"/>
    <mergeCell ref="E1:F1"/>
    <mergeCell ref="B2:C2"/>
    <mergeCell ref="E2:F2"/>
    <mergeCell ref="G1:K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2026-01-17T06:02:47Z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7C067AC26E7D47A7B4105B990F8894A0_12</vt:lpwstr>
  </property>
  <property fmtid="{D5CDD505-2E9C-101B-9397-08002B2CF9AE}" pid="3" name="KSOProductBuildVer">
    <vt:lpwstr>2057-12.2.0.23196</vt:lpwstr>
  </property>
</Properties>
</file>