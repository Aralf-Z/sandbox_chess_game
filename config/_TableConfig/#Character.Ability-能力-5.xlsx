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10" windowHeight="14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<sst xmlns="http://schemas.openxmlformats.org/spreadsheetml/2006/main" count="65" uniqueCount="63">
  <si>
    <t>##var</t>
  </si>
  <si>
    <t>id</t>
  </si>
  <si>
    <t>name</t>
  </si>
  <si>
    <t>description</t>
  </si>
  <si>
    <t>##type</t>
  </si>
  <si>
    <t>int</t>
  </si>
  <si>
    <t>string</t>
  </si>
  <si>
    <t>##</t>
  </si>
  <si>
    <t>唯一id</t>
  </si>
  <si>
    <t>id别名</t>
  </si>
  <si>
    <t>名称</t>
  </si>
  <si>
    <t>描述</t>
  </si>
  <si>
    <t>普通攻击</t>
  </si>
  <si>
    <t>攻击</t>
  </si>
  <si>
    <t>使用武器攻击</t>
  </si>
  <si>
    <t>矮人坚韧</t>
  </si>
  <si>
    <t>（被动）生命值+1，每级额外+1</t>
  </si>
  <si>
    <t>凶蛮攻击</t>
  </si>
  <si>
    <t>（被动）使用近战武器攻击造成重击时，你可以额外掷一个该武器的伤害骰（双倍暴击伤害）</t>
  </si>
  <si>
    <t>幸运</t>
  </si>
  <si>
    <t>（被动-战术一次）当攻击检定掷出 1 时，再重掷一次。</t>
  </si>
  <si>
    <t>侏儒狡黠</t>
  </si>
  <si>
    <t>（被动）对抗智力、感知和魅力豁免时具有优势</t>
  </si>
  <si>
    <t>吐息武器</t>
  </si>
  <si>
    <t>（战术一次）（主要动作）使用吐息时，你吐息所有前排与中排目标的每个生物都必须进排一次豁免，其豁免类型取决于你的龙族血统。该豁免的 DC 等于 8＋你的体质调整值＋你的熟练加值。豁免失败者将受到 2d6 点伤害。豁免成功则伤害减半。其伤害值在 6 级时增加到 3d6。</t>
  </si>
  <si>
    <t>炼狱叱喝</t>
  </si>
  <si>
    <t>（3回合冷却）（反应动作）-你伸指一点，伤害你的生物立刻被炼狱的烈焰包围。该生物必须进排一次敏捷豁免，豁免失败则受到 2d6 点火焰伤害，豁免成功则伤害减半。其伤害值在3级时增加到2D10。在6级时增加到2D12</t>
  </si>
  <si>
    <t>坚韧不屈</t>
  </si>
  <si>
    <t>（战术一次-被动）坚韧不屈-当你 HP 降至 0 时，可以改为使 HP 降至 1</t>
  </si>
  <si>
    <t>至圣斩</t>
  </si>
  <si>
    <t>（1环）在战斗准备阶段使用，消耗1环，点亮武器使下一次物理攻击额外造成2D8神圣伤害。</t>
  </si>
  <si>
    <t>圣疗术</t>
  </si>
  <si>
    <t>（战斗一次）治疗20点生命值。（优先治疗自己，溢出部分治疗最近的友军）</t>
  </si>
  <si>
    <t>冷冻射线</t>
  </si>
  <si>
    <t>远程法术攻击6格。若命中，则目标受到 1d8 点寒冷伤害，
并且在你的下一回合开始前移动力减少 2格。
 5 级时，该法术的伤害增加 1d8（变为 2d8）。11 级时再加 1d8（变为 3d8）</t>
  </si>
  <si>
    <t>火焰箭</t>
  </si>
  <si>
    <t>远程法术攻击6格。若命中，则目标受到 1d10 点火焰伤害。
你到达 5 级时，该法术的伤害增加 1d10（变为 2d10）
11级时再加 1d10（变为 3d10），</t>
  </si>
  <si>
    <t>突袭打击</t>
  </si>
  <si>
    <t>（被动-战术一次）熊地精突袭一个生物，并在战斗开始后第一轮中发动攻击命中该生物时，该目标将在该次攻击中额外受到 （2d6）的钝击伤害。</t>
  </si>
  <si>
    <t>回气</t>
  </si>
  <si>
    <t>（战术一次）在战斗准备阶段用一个附赠动作恢复生命值，其总值为 1d10＋你的战
士职业等级。</t>
  </si>
  <si>
    <t>动作如潮</t>
  </si>
  <si>
    <t>（战术一次）在战斗准备阶段使用，你可以在短时间内突破极限，以使你在回合内执排一次额外的攻击。</t>
  </si>
  <si>
    <t>巨武器战斗</t>
  </si>
  <si>
    <t>（被动）双手持用一把近战武器发动攻击时，如果你的伤害掷骰掷出1 或 2，则重新掷。</t>
  </si>
  <si>
    <t>自然探索者</t>
  </si>
  <si>
    <t>（被动）领导小队时，小队在森林和草地上的移动力+2格，先攻+1。</t>
  </si>
  <si>
    <t>圣火术</t>
  </si>
  <si>
    <t>（戏法）远程法术攻击6格，如同火焰般的辉光向施法距离内你能看见的一个生物倾泻
而下。目标受到 1d8 点光耀伤害。</t>
  </si>
  <si>
    <t>祝福术</t>
  </si>
  <si>
    <t>（1环）战斗准备阶段使用，使全队命中骰额外增加2点。</t>
  </si>
  <si>
    <t>治愈真言</t>
  </si>
  <si>
    <t>（1环）战斗准备阶段使用，你指定队伍内一个生物并恢复其生命值，恢复量等于 1d4＋你的施法关键属性调整值。</t>
  </si>
  <si>
    <t>诗人激励</t>
  </si>
  <si>
    <t>（战术三次）战斗准备阶段使用，你指定队伍内一个生物，使其下次命中骰额外增加D6。</t>
  </si>
  <si>
    <t>恶言相加</t>
  </si>
  <si>
    <t>（戏法）远程法术攻击6格，你对施法距离内一个你能看见的生物连珠炮式的说出一串
蕴涵魔力的咒骂。目标受到D4点心灵伤害，其下一次攻击检定具有劣势。</t>
  </si>
  <si>
    <t>塔莎狂笑术</t>
  </si>
  <si>
    <t>（1环）战斗准备阶段使用，指定一个你能看见的敌方生物，如果该生物可受法术
影响，则一切事物在该生物眼中都变得滑稽可笑，使它开始狂笑起来。俯身倒地，并在
1回时间内无法起立。</t>
  </si>
  <si>
    <t>魔法飞弹</t>
  </si>
  <si>
    <t>（1环）远程法术攻击6格，近战命中率不减，对敌方生命值最低的单位造成1D4+1伤害，重复三次。</t>
  </si>
  <si>
    <t>燃烧之手</t>
  </si>
  <si>
    <t>（1环）近战魔法范围攻击，对敌方前排所有单位照成2D6火焰伤害。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</si>
</sst>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  <scheme val="minor"/>
    </font>
    <font>
      <b/>
      <sz val="11"/>
      <color rgb="FF3F3F3F"/>
      <name val="等线"/>
      <charset val="134"/>
    </font>
    <font>
      <sz val="11"/>
      <color rgb="FF000000"/>
      <name val="等线"/>
      <charset val="134"/>
    </font>
    <font>
      <sz val="11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2" borderId="1" applyNumberFormat="0" applyAlignment="0" applyProtection="0">
      <alignment vertical="center"/>
    </xf>
    <xf numFmtId="0" fontId="14" fillId="2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17" applyNumberFormat="1" applyFont="1" applyFill="1" applyBorder="1" applyAlignment="1" applyProtection="1">
      <alignment horizontal="left"/>
    </xf>
    <xf numFmtId="0" fontId="1" fillId="2" borderId="1" xfId="17" applyNumberFormat="1" applyFont="1" applyFill="1" applyBorder="1" applyAlignment="1" applyProtection="1">
      <alignment horizontal="center" vertical="center"/>
    </xf>
    <xf numFmtId="0" fontId="1" fillId="2" borderId="1" xfId="17" applyNumberFormat="1" applyFont="1" applyFill="1" applyBorder="1" applyAlignment="1" applyProtection="1">
      <alignment horizontal="center" vertical="center"/>
    </xf>
    <xf numFmtId="0" fontId="1" fillId="2" borderId="1" xfId="17" applyNumberFormat="1" applyFont="1" applyFill="1" applyBorder="1" applyAlignment="1" applyProtection="1">
      <alignment horizontal="center" vertical="center"/>
    </xf>
    <xf numFmtId="0" fontId="1" fillId="2" borderId="1" xfId="17" applyNumberFormat="1" applyFont="1" applyFill="1" applyBorder="1" applyAlignment="1" applyProtection="1">
      <alignment horizontal="left" vertical="center"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selection activeCell="E14" sqref="E14"/>
    </sheetView>
  </sheetViews>
  <sheetFormatPr defaultColWidth="9" defaultRowHeight="14.5" outlineLevelCol="4"/>
  <cols>
    <col min="3" max="3" width="12.7272727272727" customWidth="1"/>
    <col min="4" max="4" width="11.8181818181818" customWidth="1"/>
    <col min="5" max="5" width="121.363636363636" customWidth="1"/>
  </cols>
  <sheetData>
    <row r="1" spans="1:5">
      <c r="A1" s="1" t="s">
        <v>0</v>
      </c>
      <c r="B1" s="2" t="s">
        <v>1</v>
      </c>
      <c r="C1" s="3"/>
      <c r="D1" s="4" t="s">
        <v>2</v>
      </c>
      <c r="E1" s="5" t="s">
        <v>3</v>
      </c>
    </row>
    <row r="2" spans="1:5">
      <c r="A2" s="1" t="s">
        <v>4</v>
      </c>
      <c r="B2" s="2" t="s">
        <v>5</v>
      </c>
      <c r="C2" s="3"/>
      <c r="D2" s="4" t="s">
        <v>6</v>
      </c>
      <c r="E2" s="5" t="s">
        <v>6</v>
      </c>
    </row>
    <row r="3" spans="1:5">
      <c r="A3" s="1" t="s">
        <v>4</v>
      </c>
      <c r="B3" s="4"/>
      <c r="C3" s="4"/>
      <c r="D3" s="4"/>
      <c r="E3" s="5"/>
    </row>
    <row r="4" spans="1:5">
      <c r="A4" s="1" t="s">
        <v>7</v>
      </c>
      <c r="B4" s="4" t="s">
        <v>8</v>
      </c>
      <c r="C4" s="4" t="s">
        <v>9</v>
      </c>
      <c r="D4" s="4" t="s">
        <v>10</v>
      </c>
      <c r="E4" s="5" t="s">
        <v>11</v>
      </c>
    </row>
    <row r="5" ht="30" customHeight="1" spans="1:5">
      <c r="A5" s="6"/>
      <c r="B5" s="7">
        <v>50001</v>
      </c>
      <c r="C5" s="7" t="s">
        <v>12</v>
      </c>
      <c r="D5" s="7" t="s">
        <v>13</v>
      </c>
      <c r="E5" s="8" t="s">
        <v>14</v>
      </c>
    </row>
    <row r="6" ht="30" customHeight="1" spans="1:5">
      <c r="A6" s="6"/>
      <c r="B6" s="7">
        <v>50011</v>
      </c>
      <c r="C6" s="7" t="str">
        <f>D6</f>
        <v>矮人坚韧</v>
      </c>
      <c r="D6" s="7" t="s">
        <v>15</v>
      </c>
      <c r="E6" s="8" t="s">
        <v>16</v>
      </c>
    </row>
    <row r="7" ht="30" customHeight="1" spans="1:5">
      <c r="A7" s="6"/>
      <c r="B7" s="7">
        <v>50012</v>
      </c>
      <c r="C7" s="7" t="str">
        <f t="shared" ref="C7:C29" si="0">D7</f>
        <v>凶蛮攻击</v>
      </c>
      <c r="D7" s="7" t="s">
        <v>17</v>
      </c>
      <c r="E7" s="8" t="s">
        <v>18</v>
      </c>
    </row>
    <row r="8" ht="30" customHeight="1" spans="1:5">
      <c r="A8" s="6"/>
      <c r="B8" s="7">
        <v>50013</v>
      </c>
      <c r="C8" s="7" t="str">
        <f t="shared" si="0"/>
        <v>幸运</v>
      </c>
      <c r="D8" s="7" t="s">
        <v>19</v>
      </c>
      <c r="E8" s="8" t="s">
        <v>20</v>
      </c>
    </row>
    <row r="9" ht="30" customHeight="1" spans="1:5">
      <c r="A9" s="6"/>
      <c r="B9" s="7">
        <v>50014</v>
      </c>
      <c r="C9" s="7" t="str">
        <f t="shared" si="0"/>
        <v>侏儒狡黠</v>
      </c>
      <c r="D9" s="7" t="s">
        <v>21</v>
      </c>
      <c r="E9" s="8" t="s">
        <v>22</v>
      </c>
    </row>
    <row r="10" ht="30" customHeight="1" spans="1:5">
      <c r="A10" s="6"/>
      <c r="B10" s="7">
        <v>50015</v>
      </c>
      <c r="C10" s="7" t="str">
        <f t="shared" si="0"/>
        <v>吐息武器</v>
      </c>
      <c r="D10" s="7" t="s">
        <v>23</v>
      </c>
      <c r="E10" s="8" t="s">
        <v>24</v>
      </c>
    </row>
    <row r="11" ht="30" customHeight="1" spans="1:5">
      <c r="A11" s="6"/>
      <c r="B11" s="7">
        <v>50016</v>
      </c>
      <c r="C11" s="7" t="str">
        <f t="shared" si="0"/>
        <v>炼狱叱喝</v>
      </c>
      <c r="D11" s="7" t="s">
        <v>25</v>
      </c>
      <c r="E11" s="8" t="s">
        <v>26</v>
      </c>
    </row>
    <row r="12" ht="30" customHeight="1" spans="1:5">
      <c r="A12" s="6"/>
      <c r="B12" s="7">
        <v>50017</v>
      </c>
      <c r="C12" s="7" t="str">
        <f t="shared" si="0"/>
        <v>坚韧不屈</v>
      </c>
      <c r="D12" s="7" t="s">
        <v>27</v>
      </c>
      <c r="E12" s="8" t="s">
        <v>28</v>
      </c>
    </row>
    <row r="13" ht="30" customHeight="1" spans="1:5">
      <c r="A13" s="6"/>
      <c r="B13" s="7">
        <v>50701</v>
      </c>
      <c r="C13" s="7" t="str">
        <f t="shared" si="0"/>
        <v>至圣斩</v>
      </c>
      <c r="D13" s="7" t="s">
        <v>29</v>
      </c>
      <c r="E13" s="8" t="s">
        <v>30</v>
      </c>
    </row>
    <row r="14" ht="30" customHeight="1" spans="1:5">
      <c r="A14" s="6"/>
      <c r="B14" s="7">
        <v>50702</v>
      </c>
      <c r="C14" s="7" t="str">
        <f t="shared" si="0"/>
        <v>圣疗术</v>
      </c>
      <c r="D14" s="7" t="s">
        <v>31</v>
      </c>
      <c r="E14" s="8" t="s">
        <v>32</v>
      </c>
    </row>
    <row r="15" ht="30" customHeight="1" spans="1:5">
      <c r="A15" s="6"/>
      <c r="B15" s="7">
        <v>51201</v>
      </c>
      <c r="C15" s="7" t="str">
        <f t="shared" si="0"/>
        <v>冷冻射线</v>
      </c>
      <c r="D15" s="7" t="s">
        <v>33</v>
      </c>
      <c r="E15" s="8" t="s">
        <v>34</v>
      </c>
    </row>
    <row r="16" ht="30" customHeight="1" spans="1:5">
      <c r="A16" s="6"/>
      <c r="B16" s="7">
        <v>51202</v>
      </c>
      <c r="C16" s="7" t="str">
        <f t="shared" si="0"/>
        <v>火焰箭</v>
      </c>
      <c r="D16" s="7" t="s">
        <v>35</v>
      </c>
      <c r="E16" s="8" t="s">
        <v>36</v>
      </c>
    </row>
    <row r="17" ht="30" customHeight="1" spans="1:5">
      <c r="A17" s="6"/>
      <c r="B17" s="7">
        <v>50018</v>
      </c>
      <c r="C17" s="7" t="str">
        <f t="shared" si="0"/>
        <v>突袭打击</v>
      </c>
      <c r="D17" s="7" t="s">
        <v>37</v>
      </c>
      <c r="E17" s="8" t="s">
        <v>38</v>
      </c>
    </row>
    <row r="18" ht="30" customHeight="1" spans="1:5">
      <c r="A18" s="6"/>
      <c r="B18" s="7">
        <v>50501</v>
      </c>
      <c r="C18" s="7" t="str">
        <f t="shared" si="0"/>
        <v>回气</v>
      </c>
      <c r="D18" s="7" t="s">
        <v>39</v>
      </c>
      <c r="E18" s="8" t="s">
        <v>40</v>
      </c>
    </row>
    <row r="19" ht="30" customHeight="1" spans="1:5">
      <c r="A19" s="6"/>
      <c r="B19" s="7">
        <v>50502</v>
      </c>
      <c r="C19" s="7" t="str">
        <f t="shared" si="0"/>
        <v>动作如潮</v>
      </c>
      <c r="D19" s="7" t="s">
        <v>41</v>
      </c>
      <c r="E19" s="8" t="s">
        <v>42</v>
      </c>
    </row>
    <row r="20" ht="30" customHeight="1" spans="1:5">
      <c r="A20" s="6"/>
      <c r="B20" s="7">
        <v>50503</v>
      </c>
      <c r="C20" s="7" t="str">
        <f t="shared" si="0"/>
        <v>巨武器战斗</v>
      </c>
      <c r="D20" s="7" t="s">
        <v>43</v>
      </c>
      <c r="E20" s="8" t="s">
        <v>44</v>
      </c>
    </row>
    <row r="21" ht="30" customHeight="1" spans="1:5">
      <c r="A21" s="6"/>
      <c r="B21" s="7">
        <v>50801</v>
      </c>
      <c r="C21" s="7" t="str">
        <f t="shared" si="0"/>
        <v>自然探索者</v>
      </c>
      <c r="D21" s="7" t="s">
        <v>45</v>
      </c>
      <c r="E21" s="8" t="s">
        <v>46</v>
      </c>
    </row>
    <row r="22" ht="30" customHeight="1" spans="1:5">
      <c r="A22" s="6"/>
      <c r="B22" s="7">
        <v>50301</v>
      </c>
      <c r="C22" s="7" t="str">
        <f t="shared" si="0"/>
        <v>圣火术</v>
      </c>
      <c r="D22" s="7" t="s">
        <v>47</v>
      </c>
      <c r="E22" s="8" t="s">
        <v>48</v>
      </c>
    </row>
    <row r="23" ht="30" customHeight="1" spans="1:5">
      <c r="A23" s="6"/>
      <c r="B23" s="7">
        <v>50302</v>
      </c>
      <c r="C23" s="7" t="str">
        <f t="shared" si="0"/>
        <v>祝福术</v>
      </c>
      <c r="D23" s="7" t="s">
        <v>49</v>
      </c>
      <c r="E23" s="8" t="s">
        <v>50</v>
      </c>
    </row>
    <row r="24" ht="30" customHeight="1" spans="1:5">
      <c r="A24" s="6"/>
      <c r="B24" s="7">
        <v>50303</v>
      </c>
      <c r="C24" s="7" t="str">
        <f t="shared" si="0"/>
        <v>治愈真言</v>
      </c>
      <c r="D24" s="7" t="s">
        <v>51</v>
      </c>
      <c r="E24" s="8" t="s">
        <v>52</v>
      </c>
    </row>
    <row r="25" ht="30" customHeight="1" spans="1:5">
      <c r="A25" s="6"/>
      <c r="B25" s="7">
        <v>50201</v>
      </c>
      <c r="C25" s="7" t="str">
        <f t="shared" si="0"/>
        <v>诗人激励</v>
      </c>
      <c r="D25" s="7" t="s">
        <v>53</v>
      </c>
      <c r="E25" s="8" t="s">
        <v>54</v>
      </c>
    </row>
    <row r="26" ht="30" customHeight="1" spans="1:5">
      <c r="A26" s="6"/>
      <c r="B26" s="7">
        <v>50202</v>
      </c>
      <c r="C26" s="7" t="str">
        <f t="shared" si="0"/>
        <v>恶言相加</v>
      </c>
      <c r="D26" s="7" t="s">
        <v>55</v>
      </c>
      <c r="E26" s="8" t="s">
        <v>56</v>
      </c>
    </row>
    <row r="27" ht="30" customHeight="1" spans="1:5">
      <c r="A27" s="9"/>
      <c r="B27" s="7">
        <v>50203</v>
      </c>
      <c r="C27" s="7" t="str">
        <f t="shared" si="0"/>
        <v>塔莎狂笑术</v>
      </c>
      <c r="D27" s="7" t="s">
        <v>57</v>
      </c>
      <c r="E27" s="8" t="s">
        <v>58</v>
      </c>
    </row>
    <row r="28" ht="30" customHeight="1" spans="1:5">
      <c r="A28" s="9"/>
      <c r="B28" s="7">
        <v>51001</v>
      </c>
      <c r="C28" s="7" t="str">
        <f t="shared" si="0"/>
        <v>魔法飞弹</v>
      </c>
      <c r="D28" s="7" t="s">
        <v>59</v>
      </c>
      <c r="E28" s="8" t="s">
        <v>60</v>
      </c>
    </row>
    <row r="29" ht="30" customHeight="1" spans="1:5">
      <c r="A29" s="9"/>
      <c r="B29" s="7">
        <v>51002</v>
      </c>
      <c r="C29" s="7" t="str">
        <f t="shared" si="0"/>
        <v>燃烧之手</v>
      </c>
      <c r="D29" s="7" t="s">
        <v>61</v>
      </c>
      <c r="E29" s="8" t="s">
        <v>62</v>
      </c>
    </row>
  </sheetData>
  <mergeCells count="2">
    <mergeCell ref="B1:C1"/>
    <mergeCell ref="B2:C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Spike</cp:lastModifiedBy>
  <dcterms:created xsi:type="dcterms:W3CDTF">2025-07-21T09:59:00Z</dcterms:created>
  <dcterms:modified xsi:type="dcterms:W3CDTF">2026-01-17T05:32:32Z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814860DF1DC540B490F5B9E2656E04CB_12</vt:lpwstr>
  </property>
  <property fmtid="{D5CDD505-2E9C-101B-9397-08002B2CF9AE}" pid="3" name="KSOProductBuildVer">
    <vt:lpwstr>2057-12.2.0.23196</vt:lpwstr>
  </property>
</Properties>
</file>