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050" windowHeight="113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<sst xmlns="http://schemas.openxmlformats.org/spreadsheetml/2006/main" count="127" uniqueCount="98">
  <si>
    <t>##var</t>
  </si>
  <si>
    <t>id</t>
  </si>
  <si>
    <t>name</t>
  </si>
  <si>
    <t>subrace</t>
  </si>
  <si>
    <t>level</t>
  </si>
  <si>
    <t>clasz</t>
  </si>
  <si>
    <t>expOnKilled</t>
  </si>
  <si>
    <t>max_hp</t>
  </si>
  <si>
    <t>attribute_preset</t>
  </si>
  <si>
    <t>item_preset1</t>
  </si>
  <si>
    <t>item_preset2</t>
  </si>
  <si>
    <t>#knapsack_items</t>
  </si>
  <si>
    <t>##type</t>
  </si>
  <si>
    <t>int</t>
  </si>
  <si>
    <t>string</t>
  </si>
  <si>
    <t>int#ref=Character.TbRace</t>
  </si>
  <si>
    <t>map,int#ref=Character.TbClasz,int</t>
  </si>
  <si>
    <t>Character.MaxHp</t>
  </si>
  <si>
    <t>Character.AttributePreset</t>
  </si>
  <si>
    <t>Character.ItemPreset</t>
  </si>
  <si>
    <t>map,(int#ref=Character.TbItem),float</t>
  </si>
  <si>
    <t>$type</t>
  </si>
  <si>
    <t>abilityScores</t>
  </si>
  <si>
    <t>resistance</t>
  </si>
  <si>
    <t>armourClass</t>
  </si>
  <si>
    <t>movement</t>
  </si>
  <si>
    <t>initiative</t>
  </si>
  <si>
    <t>abilities</t>
  </si>
  <si>
    <t>Strength</t>
  </si>
  <si>
    <t>Dexterity</t>
  </si>
  <si>
    <t>Constitution</t>
  </si>
  <si>
    <t>Intelligent</t>
  </si>
  <si>
    <t>Wisdom</t>
  </si>
  <si>
    <t>Charisma</t>
  </si>
  <si>
    <t>MainHand</t>
  </si>
  <si>
    <t>OffHand</t>
  </si>
  <si>
    <t>Body</t>
  </si>
  <si>
    <t>Artifacts</t>
  </si>
  <si>
    <t>##</t>
  </si>
  <si>
    <t>唯一id</t>
  </si>
  <si>
    <t>#id别名</t>
  </si>
  <si>
    <t>名称</t>
  </si>
  <si>
    <t>亚种</t>
  </si>
  <si>
    <t>角色等级</t>
  </si>
  <si>
    <t>职业</t>
  </si>
  <si>
    <t>等级</t>
  </si>
  <si>
    <t>击杀经验</t>
  </si>
  <si>
    <t>生命值类型</t>
  </si>
  <si>
    <t>加成</t>
  </si>
  <si>
    <t>力量</t>
  </si>
  <si>
    <t>敏捷</t>
  </si>
  <si>
    <t>体质</t>
  </si>
  <si>
    <t>智力</t>
  </si>
  <si>
    <t>感知</t>
  </si>
  <si>
    <t>魅力</t>
  </si>
  <si>
    <t>伤害抗性</t>
  </si>
  <si>
    <t>护甲等级</t>
  </si>
  <si>
    <t>移动力</t>
  </si>
  <si>
    <t>先攻</t>
  </si>
  <si>
    <t>能力表</t>
  </si>
  <si>
    <t>主手装备</t>
  </si>
  <si>
    <t>副手装备</t>
  </si>
  <si>
    <t>身体装备</t>
  </si>
  <si>
    <t>奇物</t>
  </si>
  <si>
    <t>道具id</t>
  </si>
  <si>
    <t>出现概率</t>
  </si>
  <si>
    <t>安缇</t>
  </si>
  <si>
    <t>安缇洛雅·阿玛斯塔夏</t>
  </si>
  <si>
    <t>圣武士</t>
  </si>
  <si>
    <t>职业生命值</t>
  </si>
  <si>
    <t>无&amp;0</t>
  </si>
  <si>
    <t>至圣斩</t>
  </si>
  <si>
    <t>圣疗术</t>
  </si>
  <si>
    <t>索林</t>
  </si>
  <si>
    <t>索林·白须</t>
  </si>
  <si>
    <t>战士</t>
  </si>
  <si>
    <t>回气</t>
  </si>
  <si>
    <t>动作如潮</t>
  </si>
  <si>
    <t>彻宁</t>
  </si>
  <si>
    <t>彻宁·格拉尔</t>
  </si>
  <si>
    <t>游侠</t>
  </si>
  <si>
    <t>自然探索者</t>
  </si>
  <si>
    <t/>
  </si>
  <si>
    <t>凯芙拉</t>
  </si>
  <si>
    <t>凯芙拉·斯托维恩</t>
  </si>
  <si>
    <t>牧师</t>
  </si>
  <si>
    <t>圣火术</t>
  </si>
  <si>
    <t>祝福术</t>
  </si>
  <si>
    <t>梅</t>
  </si>
  <si>
    <t>梅·文</t>
  </si>
  <si>
    <t>吟游诗人</t>
  </si>
  <si>
    <t>诗人激励</t>
  </si>
  <si>
    <t>恶言相加</t>
  </si>
  <si>
    <t>米亚</t>
  </si>
  <si>
    <t>米亚斯坦·樱木</t>
  </si>
  <si>
    <t>术士</t>
  </si>
  <si>
    <t>火焰箭</t>
  </si>
  <si>
    <t>魔法飞弹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</si>
</sst>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Calibri"/>
      <charset val="134"/>
      <scheme val="minor"/>
    </font>
    <font>
      <b/>
      <sz val="11"/>
      <color rgb="FF3F3F3F"/>
      <name val="等线"/>
      <charset val="134"/>
    </font>
    <font>
      <b/>
      <sz val="11"/>
      <color rgb="FF000000"/>
      <name val="等线"/>
      <charset val="134"/>
    </font>
    <font>
      <sz val="11"/>
      <color rgb="FF000000"/>
      <name val="等线"/>
      <charset val="134"/>
    </font>
    <font>
      <sz val="11"/>
      <name val="等线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B2B2B2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7F7F7F"/>
      </right>
      <top style="thin">
        <color auto="1"/>
      </top>
      <bottom style="thin">
        <color auto="1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auto="1"/>
      </bottom>
      <diagonal/>
    </border>
    <border>
      <left style="thin">
        <color rgb="FF3F3F3F"/>
      </left>
      <right style="thin">
        <color rgb="FF7F7F7F"/>
      </right>
      <top/>
      <bottom style="thin">
        <color auto="1"/>
      </bottom>
      <diagonal/>
    </border>
    <border>
      <left style="thin">
        <color rgb="FF3F3F3F"/>
      </left>
      <right/>
      <top/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1" applyNumberFormat="0" applyFill="0" applyAlignment="0" applyProtection="0">
      <alignment vertical="center"/>
    </xf>
    <xf numFmtId="0" fontId="11" fillId="0" borderId="21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2" borderId="1" applyNumberFormat="0" applyAlignment="0" applyProtection="0">
      <alignment vertical="center"/>
    </xf>
    <xf numFmtId="0" fontId="15" fillId="2" borderId="7" applyNumberFormat="0" applyAlignment="0" applyProtection="0">
      <alignment vertical="center"/>
    </xf>
    <xf numFmtId="0" fontId="16" fillId="5" borderId="23" applyNumberFormat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8" fillId="0" borderId="25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2" borderId="1" xfId="17" applyNumberFormat="1" applyFont="1" applyFill="1" applyBorder="1" applyAlignment="1" applyProtection="1">
      <alignment horizontal="center" vertical="center"/>
    </xf>
    <xf numFmtId="0" fontId="2" fillId="2" borderId="2" xfId="8" applyNumberFormat="1" applyFont="1" applyFill="1" applyBorder="1" applyAlignment="1" applyProtection="1">
      <alignment horizontal="center" vertical="center"/>
    </xf>
    <xf numFmtId="0" fontId="2" fillId="2" borderId="3" xfId="8" applyNumberFormat="1" applyFont="1" applyFill="1" applyBorder="1" applyAlignment="1" applyProtection="1">
      <alignment horizontal="center" vertical="center"/>
    </xf>
    <xf numFmtId="0" fontId="2" fillId="2" borderId="1" xfId="8" applyNumberFormat="1" applyFont="1" applyFill="1" applyBorder="1" applyAlignment="1" applyProtection="1">
      <alignment horizontal="center" vertical="center"/>
    </xf>
    <xf numFmtId="0" fontId="3" fillId="0" borderId="0" xfId="0" applyFont="1" applyFill="1" applyAlignment="1"/>
    <xf numFmtId="0" fontId="3" fillId="3" borderId="4" xfId="8" applyNumberFormat="1" applyFont="1" applyFill="1" applyBorder="1" applyAlignment="1" applyProtection="1"/>
    <xf numFmtId="0" fontId="3" fillId="4" borderId="5" xfId="16" applyNumberFormat="1" applyFont="1" applyFill="1" applyBorder="1" applyAlignment="1" applyProtection="1">
      <alignment horizontal="center"/>
    </xf>
    <xf numFmtId="0" fontId="3" fillId="4" borderId="5" xfId="16" applyNumberFormat="1" applyFont="1" applyFill="1" applyBorder="1" applyAlignment="1" applyProtection="1">
      <alignment horizontal="center" vertical="center"/>
    </xf>
    <xf numFmtId="0" fontId="3" fillId="3" borderId="6" xfId="8" applyNumberFormat="1" applyFont="1" applyFill="1" applyBorder="1" applyAlignment="1" applyProtection="1"/>
    <xf numFmtId="0" fontId="3" fillId="4" borderId="7" xfId="16" applyNumberFormat="1" applyFont="1" applyFill="1" applyBorder="1" applyAlignment="1" applyProtection="1">
      <alignment horizontal="center"/>
    </xf>
    <xf numFmtId="0" fontId="3" fillId="4" borderId="7" xfId="16" applyNumberFormat="1" applyFont="1" applyFill="1" applyBorder="1" applyAlignment="1" applyProtection="1">
      <alignment horizontal="center" vertical="center"/>
    </xf>
    <xf numFmtId="0" fontId="1" fillId="2" borderId="8" xfId="17" applyNumberFormat="1" applyFont="1" applyFill="1" applyBorder="1" applyAlignment="1" applyProtection="1">
      <alignment horizontal="center" vertical="center"/>
    </xf>
    <xf numFmtId="0" fontId="1" fillId="2" borderId="9" xfId="17" applyNumberFormat="1" applyFont="1" applyFill="1" applyBorder="1" applyAlignment="1" applyProtection="1">
      <alignment horizontal="center" vertical="center"/>
    </xf>
    <xf numFmtId="0" fontId="1" fillId="2" borderId="10" xfId="17" applyNumberFormat="1" applyFont="1" applyFill="1" applyBorder="1" applyAlignment="1" applyProtection="1">
      <alignment horizontal="center" vertical="center"/>
    </xf>
    <xf numFmtId="0" fontId="1" fillId="2" borderId="11" xfId="17" applyNumberFormat="1" applyFont="1" applyFill="1" applyBorder="1" applyAlignment="1" applyProtection="1">
      <alignment horizontal="center" vertical="center"/>
    </xf>
    <xf numFmtId="0" fontId="1" fillId="2" borderId="12" xfId="17" applyNumberFormat="1" applyFont="1" applyFill="1" applyBorder="1" applyAlignment="1" applyProtection="1">
      <alignment horizontal="center" vertical="center"/>
    </xf>
    <xf numFmtId="0" fontId="1" fillId="2" borderId="13" xfId="17" applyNumberFormat="1" applyFont="1" applyFill="1" applyBorder="1" applyAlignment="1" applyProtection="1">
      <alignment horizontal="center" vertical="center"/>
    </xf>
    <xf numFmtId="0" fontId="1" fillId="2" borderId="14" xfId="17" applyNumberFormat="1" applyFont="1" applyFill="1" applyBorder="1" applyAlignment="1" applyProtection="1">
      <alignment horizontal="center" vertical="center"/>
    </xf>
    <xf numFmtId="0" fontId="1" fillId="2" borderId="5" xfId="17" applyNumberFormat="1" applyFont="1" applyFill="1" applyBorder="1" applyAlignment="1" applyProtection="1">
      <alignment horizontal="center" vertical="center"/>
    </xf>
    <xf numFmtId="0" fontId="1" fillId="2" borderId="15" xfId="17" applyNumberFormat="1" applyFont="1" applyFill="1" applyBorder="1" applyAlignment="1" applyProtection="1">
      <alignment horizontal="center" vertical="center"/>
    </xf>
    <xf numFmtId="0" fontId="1" fillId="2" borderId="16" xfId="17" applyNumberFormat="1" applyFont="1" applyFill="1" applyBorder="1" applyAlignment="1" applyProtection="1">
      <alignment horizontal="center" vertical="center"/>
    </xf>
    <xf numFmtId="0" fontId="3" fillId="4" borderId="17" xfId="16" applyNumberFormat="1" applyFont="1" applyFill="1" applyBorder="1" applyAlignment="1" applyProtection="1">
      <alignment horizontal="center"/>
    </xf>
    <xf numFmtId="0" fontId="3" fillId="3" borderId="18" xfId="16" applyNumberFormat="1" applyFont="1" applyFill="1" applyBorder="1" applyAlignment="1" applyProtection="1"/>
    <xf numFmtId="0" fontId="3" fillId="3" borderId="4" xfId="16" applyNumberFormat="1" applyFont="1" applyFill="1" applyBorder="1" applyAlignment="1" applyProtection="1"/>
    <xf numFmtId="0" fontId="3" fillId="4" borderId="19" xfId="16" applyNumberFormat="1" applyFont="1" applyFill="1" applyBorder="1" applyAlignment="1" applyProtection="1">
      <alignment horizontal="center"/>
    </xf>
    <xf numFmtId="0" fontId="3" fillId="3" borderId="20" xfId="16" applyNumberFormat="1" applyFont="1" applyFill="1" applyBorder="1" applyAlignment="1" applyProtection="1"/>
    <xf numFmtId="0" fontId="3" fillId="3" borderId="6" xfId="16" applyNumberFormat="1" applyFont="1" applyFill="1" applyBorder="1" applyAlignment="1" applyProtection="1"/>
    <xf numFmtId="0" fontId="3" fillId="3" borderId="4" xfId="0" applyFont="1" applyFill="1" applyBorder="1" applyAlignment="1"/>
    <xf numFmtId="0" fontId="3" fillId="3" borderId="6" xfId="0" applyFont="1" applyFill="1" applyBorder="1" applyAlignment="1"/>
    <xf numFmtId="0" fontId="3" fillId="4" borderId="4" xfId="0" applyFont="1" applyFill="1" applyBorder="1" applyAlignment="1"/>
    <xf numFmtId="0" fontId="3" fillId="4" borderId="6" xfId="0" applyFont="1" applyFill="1" applyBorder="1" applyAlignment="1"/>
    <xf numFmtId="0" fontId="4" fillId="0" borderId="0" xfId="0" applyFon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"/>
  <sheetViews>
    <sheetView tabSelected="1" topLeftCell="T1" workbookViewId="0">
      <selection activeCell="AT16" sqref="AT16"/>
    </sheetView>
  </sheetViews>
  <sheetFormatPr defaultColWidth="9" defaultRowHeight="14.5"/>
  <cols>
    <col min="3" max="3" width="8.45454545454546" customWidth="1"/>
    <col min="4" max="4" width="21.2727272727273" customWidth="1"/>
    <col min="5" max="5" width="13.2727272727273" customWidth="1"/>
    <col min="12" max="12" width="18" customWidth="1"/>
    <col min="27" max="27" width="7" customWidth="1"/>
  </cols>
  <sheetData>
    <row r="1" spans="1:45">
      <c r="A1" s="1" t="s">
        <v>0</v>
      </c>
      <c r="B1" s="2" t="s">
        <v>1</v>
      </c>
      <c r="C1" s="3"/>
      <c r="D1" s="4" t="s">
        <v>2</v>
      </c>
      <c r="E1" s="4" t="s">
        <v>3</v>
      </c>
      <c r="F1" s="1" t="s">
        <v>4</v>
      </c>
      <c r="G1" s="1" t="s">
        <v>5</v>
      </c>
      <c r="H1" s="1"/>
      <c r="I1" s="1"/>
      <c r="J1" s="1"/>
      <c r="K1" s="1" t="s">
        <v>6</v>
      </c>
      <c r="L1" s="12" t="s">
        <v>7</v>
      </c>
      <c r="M1" s="12"/>
      <c r="N1" s="13"/>
      <c r="O1" s="14" t="s">
        <v>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 t="s">
        <v>9</v>
      </c>
      <c r="AC1" s="1"/>
      <c r="AD1" s="1"/>
      <c r="AE1" s="1"/>
      <c r="AF1" s="1"/>
      <c r="AG1" s="1"/>
      <c r="AH1" s="1" t="s">
        <v>10</v>
      </c>
      <c r="AI1" s="1"/>
      <c r="AJ1" s="1"/>
      <c r="AK1" s="1"/>
      <c r="AL1" s="1"/>
      <c r="AM1" s="1"/>
      <c r="AN1" s="1" t="s">
        <v>11</v>
      </c>
      <c r="AO1" s="1"/>
      <c r="AP1" s="1"/>
      <c r="AQ1" s="1"/>
      <c r="AR1" s="1"/>
      <c r="AS1" s="1"/>
    </row>
    <row r="2" spans="1:45">
      <c r="A2" s="1" t="s">
        <v>12</v>
      </c>
      <c r="B2" s="2" t="s">
        <v>13</v>
      </c>
      <c r="C2" s="3"/>
      <c r="D2" s="4" t="s">
        <v>14</v>
      </c>
      <c r="E2" s="4" t="s">
        <v>15</v>
      </c>
      <c r="F2" s="1" t="s">
        <v>13</v>
      </c>
      <c r="G2" s="1" t="s">
        <v>16</v>
      </c>
      <c r="H2" s="1"/>
      <c r="I2" s="1"/>
      <c r="J2" s="1"/>
      <c r="K2" s="1" t="s">
        <v>13</v>
      </c>
      <c r="L2" s="15" t="s">
        <v>17</v>
      </c>
      <c r="M2" s="16"/>
      <c r="N2" s="17"/>
      <c r="O2" s="14" t="s">
        <v>18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19</v>
      </c>
      <c r="AC2" s="1"/>
      <c r="AD2" s="1"/>
      <c r="AE2" s="1"/>
      <c r="AF2" s="1"/>
      <c r="AG2" s="1"/>
      <c r="AH2" s="1" t="s">
        <v>19</v>
      </c>
      <c r="AI2" s="1"/>
      <c r="AJ2" s="1"/>
      <c r="AK2" s="1"/>
      <c r="AL2" s="1"/>
      <c r="AM2" s="1"/>
      <c r="AN2" s="1" t="s">
        <v>20</v>
      </c>
      <c r="AO2" s="1"/>
      <c r="AP2" s="1"/>
      <c r="AQ2" s="1"/>
      <c r="AR2" s="1"/>
      <c r="AS2" s="1"/>
    </row>
    <row r="3" spans="1:45">
      <c r="A3" s="1" t="s">
        <v>12</v>
      </c>
      <c r="B3" s="4"/>
      <c r="C3" s="4"/>
      <c r="D3" s="4"/>
      <c r="E3" s="4"/>
      <c r="F3" s="1"/>
      <c r="G3" s="1"/>
      <c r="H3" s="1"/>
      <c r="I3" s="1"/>
      <c r="J3" s="1"/>
      <c r="K3" s="1"/>
      <c r="L3" s="1" t="s">
        <v>21</v>
      </c>
      <c r="M3" s="18"/>
      <c r="N3" s="19"/>
      <c r="O3" s="14" t="s">
        <v>22</v>
      </c>
      <c r="P3" s="1"/>
      <c r="Q3" s="1"/>
      <c r="R3" s="1"/>
      <c r="S3" s="1"/>
      <c r="T3" s="1"/>
      <c r="U3" s="1" t="s">
        <v>23</v>
      </c>
      <c r="V3" s="1" t="s">
        <v>24</v>
      </c>
      <c r="W3" s="1" t="s">
        <v>25</v>
      </c>
      <c r="X3" s="1" t="s">
        <v>26</v>
      </c>
      <c r="Y3" s="1" t="s">
        <v>27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</row>
    <row r="4" spans="1:45">
      <c r="A4" s="1" t="s">
        <v>12</v>
      </c>
      <c r="B4" s="4"/>
      <c r="C4" s="4"/>
      <c r="D4" s="4"/>
      <c r="E4" s="4"/>
      <c r="F4" s="1"/>
      <c r="G4" s="1"/>
      <c r="H4" s="1"/>
      <c r="I4" s="1"/>
      <c r="J4" s="1"/>
      <c r="K4" s="1"/>
      <c r="L4" s="1"/>
      <c r="M4" s="20"/>
      <c r="N4" s="21"/>
      <c r="O4" s="14" t="s">
        <v>28</v>
      </c>
      <c r="P4" s="1" t="s">
        <v>29</v>
      </c>
      <c r="Q4" s="1" t="s">
        <v>30</v>
      </c>
      <c r="R4" s="1" t="s">
        <v>31</v>
      </c>
      <c r="S4" s="1" t="s">
        <v>32</v>
      </c>
      <c r="T4" s="1" t="s">
        <v>33</v>
      </c>
      <c r="U4" s="1"/>
      <c r="V4" s="1"/>
      <c r="W4" s="1"/>
      <c r="X4" s="1"/>
      <c r="Y4" s="1"/>
      <c r="Z4" s="1"/>
      <c r="AA4" s="1"/>
      <c r="AB4" s="1" t="s">
        <v>34</v>
      </c>
      <c r="AC4" s="1" t="s">
        <v>35</v>
      </c>
      <c r="AD4" s="1" t="s">
        <v>36</v>
      </c>
      <c r="AE4" s="1" t="s">
        <v>37</v>
      </c>
      <c r="AF4" s="1"/>
      <c r="AG4" s="1"/>
      <c r="AH4" s="1" t="s">
        <v>34</v>
      </c>
      <c r="AI4" s="1" t="s">
        <v>35</v>
      </c>
      <c r="AJ4" s="1" t="s">
        <v>36</v>
      </c>
      <c r="AK4" s="1" t="s">
        <v>37</v>
      </c>
      <c r="AL4" s="1"/>
      <c r="AM4" s="1"/>
      <c r="AN4" s="1"/>
      <c r="AO4" s="1"/>
      <c r="AP4" s="1"/>
      <c r="AQ4" s="1"/>
      <c r="AR4" s="1"/>
      <c r="AS4" s="1"/>
    </row>
    <row r="5" spans="1:45">
      <c r="A5" s="1" t="s">
        <v>38</v>
      </c>
      <c r="B5" s="4" t="s">
        <v>39</v>
      </c>
      <c r="C5" s="4" t="s">
        <v>40</v>
      </c>
      <c r="D5" s="4" t="s">
        <v>41</v>
      </c>
      <c r="E5" s="4" t="s">
        <v>42</v>
      </c>
      <c r="F5" s="1" t="s">
        <v>43</v>
      </c>
      <c r="G5" s="1" t="s">
        <v>44</v>
      </c>
      <c r="H5" s="1" t="s">
        <v>45</v>
      </c>
      <c r="I5" s="1" t="s">
        <v>44</v>
      </c>
      <c r="J5" s="1" t="s">
        <v>45</v>
      </c>
      <c r="K5" s="1" t="s">
        <v>46</v>
      </c>
      <c r="L5" s="1" t="s">
        <v>47</v>
      </c>
      <c r="M5" s="1" t="s">
        <v>48</v>
      </c>
      <c r="N5" s="1"/>
      <c r="O5" s="14" t="s">
        <v>49</v>
      </c>
      <c r="P5" s="1" t="s">
        <v>50</v>
      </c>
      <c r="Q5" s="1" t="s">
        <v>51</v>
      </c>
      <c r="R5" s="1" t="s">
        <v>52</v>
      </c>
      <c r="S5" s="1" t="s">
        <v>53</v>
      </c>
      <c r="T5" s="1" t="s">
        <v>54</v>
      </c>
      <c r="U5" s="1" t="s">
        <v>55</v>
      </c>
      <c r="V5" s="1" t="s">
        <v>56</v>
      </c>
      <c r="W5" s="1" t="s">
        <v>57</v>
      </c>
      <c r="X5" s="1" t="s">
        <v>58</v>
      </c>
      <c r="Y5" s="1" t="s">
        <v>59</v>
      </c>
      <c r="Z5" s="1"/>
      <c r="AA5" s="1"/>
      <c r="AB5" s="1" t="s">
        <v>60</v>
      </c>
      <c r="AC5" s="1" t="s">
        <v>61</v>
      </c>
      <c r="AD5" s="1" t="s">
        <v>62</v>
      </c>
      <c r="AE5" s="1" t="s">
        <v>63</v>
      </c>
      <c r="AF5" s="1"/>
      <c r="AG5" s="1"/>
      <c r="AH5" s="1" t="s">
        <v>60</v>
      </c>
      <c r="AI5" s="1" t="s">
        <v>61</v>
      </c>
      <c r="AJ5" s="1" t="s">
        <v>62</v>
      </c>
      <c r="AK5" s="1" t="s">
        <v>63</v>
      </c>
      <c r="AL5" s="1"/>
      <c r="AM5" s="1"/>
      <c r="AN5" s="1" t="s">
        <v>64</v>
      </c>
      <c r="AO5" s="1" t="s">
        <v>65</v>
      </c>
      <c r="AP5" s="1" t="s">
        <v>64</v>
      </c>
      <c r="AQ5" s="1" t="s">
        <v>65</v>
      </c>
      <c r="AR5" s="1" t="s">
        <v>64</v>
      </c>
      <c r="AS5" s="1" t="s">
        <v>65</v>
      </c>
    </row>
    <row r="6" spans="1:45">
      <c r="A6" s="5"/>
      <c r="B6" s="6">
        <v>10001</v>
      </c>
      <c r="C6" s="6" t="s">
        <v>66</v>
      </c>
      <c r="D6" s="6" t="s">
        <v>67</v>
      </c>
      <c r="E6" s="6">
        <v>30005</v>
      </c>
      <c r="F6" s="7">
        <f t="shared" ref="F6:F11" si="0">H6+J6</f>
        <v>2</v>
      </c>
      <c r="G6" s="7" t="s">
        <v>68</v>
      </c>
      <c r="H6" s="8">
        <v>2</v>
      </c>
      <c r="I6" s="8"/>
      <c r="J6" s="7"/>
      <c r="K6" s="7">
        <v>0</v>
      </c>
      <c r="L6" s="7" t="s">
        <v>69</v>
      </c>
      <c r="M6" s="22"/>
      <c r="N6" s="7"/>
      <c r="O6" s="23">
        <v>18</v>
      </c>
      <c r="P6" s="24">
        <v>15</v>
      </c>
      <c r="Q6" s="24">
        <v>16</v>
      </c>
      <c r="R6" s="24">
        <v>12</v>
      </c>
      <c r="S6" s="24">
        <v>14</v>
      </c>
      <c r="T6" s="24">
        <v>17</v>
      </c>
      <c r="U6" s="28" t="s">
        <v>70</v>
      </c>
      <c r="V6" s="28">
        <v>16</v>
      </c>
      <c r="W6" s="28">
        <v>6</v>
      </c>
      <c r="X6" s="28">
        <v>2</v>
      </c>
      <c r="Y6" s="28" t="s">
        <v>71</v>
      </c>
      <c r="Z6" s="28" t="s">
        <v>72</v>
      </c>
      <c r="AA6" s="28"/>
      <c r="AB6" s="30">
        <v>42702</v>
      </c>
      <c r="AC6" s="30">
        <v>40501</v>
      </c>
      <c r="AD6" s="30">
        <v>40402</v>
      </c>
      <c r="AE6" s="30"/>
      <c r="AF6" s="30"/>
      <c r="AG6" s="30"/>
      <c r="AH6" s="30">
        <v>0</v>
      </c>
      <c r="AI6" s="30">
        <v>0</v>
      </c>
      <c r="AJ6" s="30">
        <v>0</v>
      </c>
      <c r="AK6" s="30"/>
      <c r="AL6" s="30"/>
      <c r="AM6" s="30"/>
      <c r="AN6" s="32"/>
      <c r="AO6" s="32"/>
      <c r="AP6" s="32"/>
      <c r="AQ6" s="32"/>
      <c r="AR6" s="32"/>
      <c r="AS6" s="32"/>
    </row>
    <row r="7" spans="1:45">
      <c r="A7" s="5"/>
      <c r="B7" s="9">
        <v>10002</v>
      </c>
      <c r="C7" s="9" t="s">
        <v>73</v>
      </c>
      <c r="D7" s="9" t="s">
        <v>74</v>
      </c>
      <c r="E7" s="9">
        <v>30003</v>
      </c>
      <c r="F7" s="10">
        <f t="shared" si="0"/>
        <v>2</v>
      </c>
      <c r="G7" s="11" t="s">
        <v>75</v>
      </c>
      <c r="H7" s="10">
        <v>2</v>
      </c>
      <c r="I7" s="11"/>
      <c r="J7" s="10"/>
      <c r="K7" s="10">
        <v>0</v>
      </c>
      <c r="L7" s="10" t="s">
        <v>69</v>
      </c>
      <c r="M7" s="25"/>
      <c r="N7" s="10"/>
      <c r="O7" s="26">
        <v>20</v>
      </c>
      <c r="P7" s="27">
        <v>16</v>
      </c>
      <c r="Q7" s="27">
        <v>17</v>
      </c>
      <c r="R7" s="27">
        <v>8</v>
      </c>
      <c r="S7" s="27">
        <v>11</v>
      </c>
      <c r="T7" s="27">
        <v>14</v>
      </c>
      <c r="U7" s="29" t="s">
        <v>70</v>
      </c>
      <c r="V7" s="29">
        <v>16</v>
      </c>
      <c r="W7" s="29">
        <v>5</v>
      </c>
      <c r="X7" s="29">
        <v>3</v>
      </c>
      <c r="Y7" s="29" t="s">
        <v>76</v>
      </c>
      <c r="Z7" s="29" t="s">
        <v>77</v>
      </c>
      <c r="AA7" s="29">
        <v>50503</v>
      </c>
      <c r="AB7" s="31">
        <v>41901</v>
      </c>
      <c r="AC7" s="31">
        <v>0</v>
      </c>
      <c r="AD7" s="31">
        <v>40402</v>
      </c>
      <c r="AE7" s="31"/>
      <c r="AF7" s="31"/>
      <c r="AG7" s="31"/>
      <c r="AH7" s="31">
        <v>0</v>
      </c>
      <c r="AI7" s="31">
        <v>0</v>
      </c>
      <c r="AJ7" s="31">
        <v>0</v>
      </c>
      <c r="AK7" s="31"/>
      <c r="AL7" s="31"/>
      <c r="AM7" s="31"/>
      <c r="AN7" s="32"/>
      <c r="AO7" s="32"/>
      <c r="AP7" s="32"/>
      <c r="AQ7" s="32"/>
      <c r="AR7" s="32"/>
      <c r="AS7" s="32"/>
    </row>
    <row r="8" spans="1:45">
      <c r="A8" s="5"/>
      <c r="B8" s="9">
        <v>10003</v>
      </c>
      <c r="C8" s="9" t="s">
        <v>78</v>
      </c>
      <c r="D8" s="9" t="s">
        <v>79</v>
      </c>
      <c r="E8" s="9">
        <v>30001</v>
      </c>
      <c r="F8" s="10">
        <f t="shared" si="0"/>
        <v>2</v>
      </c>
      <c r="G8" s="11" t="s">
        <v>80</v>
      </c>
      <c r="H8" s="10">
        <v>2</v>
      </c>
      <c r="I8" s="11"/>
      <c r="J8" s="10"/>
      <c r="K8" s="10">
        <v>0</v>
      </c>
      <c r="L8" s="10" t="s">
        <v>69</v>
      </c>
      <c r="M8" s="25"/>
      <c r="N8" s="10"/>
      <c r="O8" s="26">
        <v>16</v>
      </c>
      <c r="P8" s="27">
        <v>16</v>
      </c>
      <c r="Q8" s="27">
        <v>14</v>
      </c>
      <c r="R8" s="27">
        <v>12</v>
      </c>
      <c r="S8" s="27">
        <v>14</v>
      </c>
      <c r="T8" s="27">
        <v>12</v>
      </c>
      <c r="U8" s="29" t="s">
        <v>70</v>
      </c>
      <c r="V8" s="29">
        <v>14</v>
      </c>
      <c r="W8" s="29">
        <v>6</v>
      </c>
      <c r="X8" s="29">
        <v>3</v>
      </c>
      <c r="Y8" s="29" t="s">
        <v>81</v>
      </c>
      <c r="Z8" s="29" t="s">
        <v>82</v>
      </c>
      <c r="AA8" s="29"/>
      <c r="AB8" s="31">
        <v>42301</v>
      </c>
      <c r="AC8" s="31">
        <v>0</v>
      </c>
      <c r="AD8" s="31">
        <v>40202</v>
      </c>
      <c r="AE8" s="31"/>
      <c r="AF8" s="31"/>
      <c r="AG8" s="31"/>
      <c r="AH8" s="31">
        <v>43001</v>
      </c>
      <c r="AI8" s="31">
        <v>0</v>
      </c>
      <c r="AJ8" s="31">
        <v>40202</v>
      </c>
      <c r="AK8" s="31"/>
      <c r="AL8" s="31"/>
      <c r="AM8" s="31"/>
      <c r="AN8" s="32"/>
      <c r="AO8" s="32"/>
      <c r="AP8" s="32"/>
      <c r="AQ8" s="32"/>
      <c r="AR8" s="32"/>
      <c r="AS8" s="32"/>
    </row>
    <row r="9" spans="1:45">
      <c r="A9" s="5"/>
      <c r="B9" s="9">
        <v>10004</v>
      </c>
      <c r="C9" s="9" t="s">
        <v>83</v>
      </c>
      <c r="D9" s="9" t="s">
        <v>84</v>
      </c>
      <c r="E9" s="9">
        <v>30001</v>
      </c>
      <c r="F9" s="10">
        <f t="shared" si="0"/>
        <v>2</v>
      </c>
      <c r="G9" s="11" t="s">
        <v>85</v>
      </c>
      <c r="H9" s="10">
        <v>2</v>
      </c>
      <c r="I9" s="11"/>
      <c r="J9" s="10"/>
      <c r="K9" s="10">
        <v>0</v>
      </c>
      <c r="L9" s="10" t="s">
        <v>69</v>
      </c>
      <c r="M9" s="25"/>
      <c r="N9" s="10"/>
      <c r="O9" s="26">
        <v>15</v>
      </c>
      <c r="P9" s="27">
        <v>10</v>
      </c>
      <c r="Q9" s="27">
        <v>14</v>
      </c>
      <c r="R9" s="27">
        <v>12</v>
      </c>
      <c r="S9" s="27">
        <v>18</v>
      </c>
      <c r="T9" s="27">
        <v>12</v>
      </c>
      <c r="U9" s="29" t="s">
        <v>70</v>
      </c>
      <c r="V9" s="29">
        <v>16</v>
      </c>
      <c r="W9" s="29">
        <v>6</v>
      </c>
      <c r="X9" s="29">
        <v>0</v>
      </c>
      <c r="Y9" s="29" t="s">
        <v>86</v>
      </c>
      <c r="Z9" s="29" t="s">
        <v>87</v>
      </c>
      <c r="AA9" s="29">
        <v>50303</v>
      </c>
      <c r="AB9" s="31">
        <v>40601</v>
      </c>
      <c r="AC9" s="31">
        <v>40501</v>
      </c>
      <c r="AD9" s="31">
        <v>40303</v>
      </c>
      <c r="AE9" s="31"/>
      <c r="AF9" s="31"/>
      <c r="AG9" s="31"/>
      <c r="AH9" s="31">
        <v>0</v>
      </c>
      <c r="AI9" s="31">
        <v>0</v>
      </c>
      <c r="AJ9" s="31">
        <v>0</v>
      </c>
      <c r="AK9" s="31"/>
      <c r="AL9" s="31"/>
      <c r="AM9" s="31"/>
      <c r="AN9" s="32"/>
      <c r="AO9" s="32"/>
      <c r="AP9" s="32"/>
      <c r="AQ9" s="32"/>
      <c r="AR9" s="32"/>
      <c r="AS9" s="32"/>
    </row>
    <row r="10" spans="1:45">
      <c r="A10" s="5"/>
      <c r="B10" s="9">
        <v>10005</v>
      </c>
      <c r="C10" s="9" t="s">
        <v>88</v>
      </c>
      <c r="D10" s="9" t="s">
        <v>89</v>
      </c>
      <c r="E10" s="9">
        <v>30008</v>
      </c>
      <c r="F10" s="10">
        <f t="shared" si="0"/>
        <v>2</v>
      </c>
      <c r="G10" s="11" t="s">
        <v>90</v>
      </c>
      <c r="H10" s="10">
        <v>2</v>
      </c>
      <c r="I10" s="11"/>
      <c r="J10" s="10"/>
      <c r="K10" s="10">
        <v>0</v>
      </c>
      <c r="L10" s="10" t="s">
        <v>69</v>
      </c>
      <c r="M10" s="25"/>
      <c r="N10" s="10"/>
      <c r="O10" s="26">
        <v>10</v>
      </c>
      <c r="P10" s="27">
        <v>18</v>
      </c>
      <c r="Q10" s="27">
        <v>12</v>
      </c>
      <c r="R10" s="27">
        <v>14</v>
      </c>
      <c r="S10" s="27">
        <v>14</v>
      </c>
      <c r="T10" s="27">
        <v>18</v>
      </c>
      <c r="U10" s="29" t="s">
        <v>70</v>
      </c>
      <c r="V10" s="29">
        <v>15</v>
      </c>
      <c r="W10" s="29">
        <v>6</v>
      </c>
      <c r="X10" s="29">
        <v>4</v>
      </c>
      <c r="Y10" s="29" t="s">
        <v>91</v>
      </c>
      <c r="Z10" s="29" t="s">
        <v>92</v>
      </c>
      <c r="AA10" s="29">
        <v>50203</v>
      </c>
      <c r="AB10" s="31">
        <v>40701</v>
      </c>
      <c r="AC10" s="31">
        <v>0</v>
      </c>
      <c r="AD10" s="31">
        <v>40202</v>
      </c>
      <c r="AE10" s="31"/>
      <c r="AF10" s="31"/>
      <c r="AG10" s="31"/>
      <c r="AH10" s="31">
        <v>0</v>
      </c>
      <c r="AI10" s="31">
        <v>0</v>
      </c>
      <c r="AJ10" s="31">
        <v>0</v>
      </c>
      <c r="AK10" s="31"/>
      <c r="AL10" s="31"/>
      <c r="AM10" s="31"/>
      <c r="AN10" s="32"/>
      <c r="AO10" s="32"/>
      <c r="AP10" s="32"/>
      <c r="AQ10" s="32"/>
      <c r="AR10" s="32"/>
      <c r="AS10" s="32"/>
    </row>
    <row r="11" spans="1:45">
      <c r="A11" s="5"/>
      <c r="B11" s="9">
        <v>10006</v>
      </c>
      <c r="C11" s="9" t="s">
        <v>93</v>
      </c>
      <c r="D11" s="9" t="s">
        <v>94</v>
      </c>
      <c r="E11" s="9">
        <v>30009</v>
      </c>
      <c r="F11" s="10">
        <f t="shared" si="0"/>
        <v>2</v>
      </c>
      <c r="G11" s="11" t="s">
        <v>95</v>
      </c>
      <c r="H11" s="10">
        <v>2</v>
      </c>
      <c r="I11" s="11"/>
      <c r="J11" s="10"/>
      <c r="K11" s="10">
        <v>0</v>
      </c>
      <c r="L11" s="10" t="s">
        <v>69</v>
      </c>
      <c r="M11" s="25"/>
      <c r="N11" s="10"/>
      <c r="O11" s="26">
        <v>8</v>
      </c>
      <c r="P11" s="27">
        <v>18</v>
      </c>
      <c r="Q11" s="27">
        <v>16</v>
      </c>
      <c r="R11" s="27">
        <v>11</v>
      </c>
      <c r="S11" s="27">
        <v>12</v>
      </c>
      <c r="T11" s="27">
        <v>18</v>
      </c>
      <c r="U11" s="29" t="s">
        <v>70</v>
      </c>
      <c r="V11" s="29">
        <v>17</v>
      </c>
      <c r="W11" s="29">
        <v>6</v>
      </c>
      <c r="X11" s="29">
        <v>4</v>
      </c>
      <c r="Y11" s="29" t="s">
        <v>96</v>
      </c>
      <c r="Z11" s="29" t="s">
        <v>97</v>
      </c>
      <c r="AA11" s="29">
        <v>51002</v>
      </c>
      <c r="AB11" s="31">
        <v>40701</v>
      </c>
      <c r="AC11" s="31">
        <v>0</v>
      </c>
      <c r="AD11" s="31">
        <v>40101</v>
      </c>
      <c r="AE11" s="31"/>
      <c r="AF11" s="31"/>
      <c r="AG11" s="31"/>
      <c r="AH11" s="31">
        <v>0</v>
      </c>
      <c r="AI11" s="31">
        <v>0</v>
      </c>
      <c r="AJ11" s="31">
        <v>0</v>
      </c>
      <c r="AK11" s="31"/>
      <c r="AL11" s="31"/>
      <c r="AM11" s="31"/>
      <c r="AN11" s="32"/>
      <c r="AO11" s="32"/>
      <c r="AP11" s="32"/>
      <c r="AQ11" s="32"/>
      <c r="AR11" s="32"/>
      <c r="AS11" s="32"/>
    </row>
  </sheetData>
  <mergeCells count="26">
    <mergeCell ref="B1:C1"/>
    <mergeCell ref="G1:J1"/>
    <mergeCell ref="L1:N1"/>
    <mergeCell ref="O1:AA1"/>
    <mergeCell ref="AB1:AG1"/>
    <mergeCell ref="AH1:AM1"/>
    <mergeCell ref="AN1:AS1"/>
    <mergeCell ref="B2:C2"/>
    <mergeCell ref="G2:J2"/>
    <mergeCell ref="M2:N2"/>
    <mergeCell ref="O2:AA2"/>
    <mergeCell ref="AB2:AG2"/>
    <mergeCell ref="AH2:AM2"/>
    <mergeCell ref="AN2:AS2"/>
    <mergeCell ref="O3:T3"/>
    <mergeCell ref="Y3:AA3"/>
    <mergeCell ref="AB3:AG3"/>
    <mergeCell ref="AH3:AM3"/>
    <mergeCell ref="AN3:AS3"/>
    <mergeCell ref="Y4:AA4"/>
    <mergeCell ref="AE4:AG4"/>
    <mergeCell ref="AK4:AM4"/>
    <mergeCell ref="M5:N5"/>
    <mergeCell ref="Y5:AA5"/>
    <mergeCell ref="AE5:AG5"/>
    <mergeCell ref="AK5:AM5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Spike</cp:lastModifiedBy>
  <dcterms:created xsi:type="dcterms:W3CDTF">2025-07-21T09:59:00Z</dcterms:created>
  <dcterms:modified xsi:type="dcterms:W3CDTF">2026-01-17T06:25:36Z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A72C78371F82416BB7F937E4B60CEFCC_12</vt:lpwstr>
  </property>
  <property fmtid="{D5CDD505-2E9C-101B-9397-08002B2CF9AE}" pid="3" name="KSOProductBuildVer">
    <vt:lpwstr>2057-12.2.0.23196</vt:lpwstr>
  </property>
</Properties>
</file>