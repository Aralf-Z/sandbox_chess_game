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99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<sst xmlns="http://schemas.openxmlformats.org/spreadsheetml/2006/main" count="59" uniqueCount="53">
  <si>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##var</t>
  </si>
  <si>
    <t>id</t>
  </si>
  <si>
    <t>name</t>
  </si>
  <si>
    <t>race</t>
  </si>
  <si>
    <t>creature_type</t>
  </si>
  <si>
    <t>body_type</t>
  </si>
  <si>
    <t>proficiency</t>
  </si>
  <si>
    <t>attribute_preset</t>
  </si>
  <si>
    <t>##能力表索引</t>
  </si>
  <si>
    <t>##type</t>
  </si>
  <si>
    <t>int</t>
  </si>
  <si>
    <t>string</t>
  </si>
  <si>
    <t>Character.EmRace</t>
  </si>
  <si>
    <t>Character.EmCreatureType</t>
  </si>
  <si>
    <t>Character.EmBodyType</t>
  </si>
  <si>
    <t>Character.EmEquipType</t>
  </si>
  <si>
    <t>Character.AttributePreset</t>
  </si>
  <si>
    <t>abilityScores</t>
  </si>
  <si>
    <t>resistance</t>
  </si>
  <si>
    <t>armourClass</t>
  </si>
  <si>
    <t>movement</t>
  </si>
  <si>
    <t>initiative</t>
  </si>
  <si>
    <t>abilities</t>
  </si>
  <si>
    <t>Strength</t>
  </si>
  <si>
    <t>Dexterity</t>
  </si>
  <si>
    <t>Constitution</t>
  </si>
  <si>
    <t>Intelligent</t>
  </si>
  <si>
    <t>Wisdom</t>
  </si>
  <si>
    <t>Charisma</t>
  </si>
  <si>
    <t>##</t>
  </si>
  <si>
    <t>唯一id</t>
  </si>
  <si>
    <t>名称</t>
  </si>
  <si>
    <t>种族</t>
  </si>
  <si>
    <t>类别</t>
  </si>
  <si>
    <t>体型</t>
  </si>
  <si>
    <t>装备熟练</t>
  </si>
  <si>
    <t>力量</t>
  </si>
  <si>
    <t>敏捷</t>
  </si>
  <si>
    <t>体质</t>
  </si>
  <si>
    <t>智力</t>
  </si>
  <si>
    <t>感知</t>
  </si>
  <si>
    <t>魅力</t>
  </si>
  <si>
    <t>伤害抗性</t>
  </si>
  <si>
    <t>护甲等级</t>
  </si>
  <si>
    <t>移动力</t>
  </si>
  <si>
    <t>先攻</t>
  </si>
  <si>
    <t>能力表</t>
  </si>
  <si>
    <t>地精</t>
  </si>
  <si>
    <t>类人</t>
  </si>
  <si>
    <t>小型</t>
  </si>
  <si>
    <t>无&amp;0</t>
  </si>
  <si>
    <t>类地精</t>
  </si>
  <si>
    <t>中型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</si>
</sst>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s\unity\sandbox_chess_game\config\TableConfi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s"/>
      <sheetName val="beans"/>
      <sheetName val="enums"/>
      <sheetName val="游戏_单例"/>
      <sheetName val="角色_职业"/>
      <sheetName val="角色_种族_友方"/>
      <sheetName val="角色_冒险者"/>
      <sheetName val="角色_预设_友方"/>
      <sheetName val="角色_种族_敌方"/>
      <sheetName val="角色_预设_敌方"/>
      <sheetName val="角色_装备"/>
      <sheetName val="角色_奇物"/>
      <sheetName val="角色_基础武器"/>
      <sheetName val="角色_能力"/>
      <sheetName val="战斗_战役"/>
      <sheetName val="##游戏名词解释"/>
      <sheetName val="##角色_下拉菜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id</v>
          </cell>
          <cell r="C1" t="str">
            <v>name</v>
          </cell>
        </row>
        <row r="2">
          <cell r="B2" t="str">
            <v>int</v>
          </cell>
          <cell r="C2" t="str">
            <v>string</v>
          </cell>
        </row>
        <row r="4">
          <cell r="B4" t="str">
            <v>唯一id</v>
          </cell>
          <cell r="C4" t="str">
            <v>名称</v>
          </cell>
        </row>
        <row r="5">
          <cell r="B5">
            <v>50001</v>
          </cell>
          <cell r="C5" t="str">
            <v>攻击</v>
          </cell>
        </row>
        <row r="6">
          <cell r="B6">
            <v>50011</v>
          </cell>
          <cell r="C6" t="str">
            <v>矮人坚韧</v>
          </cell>
        </row>
        <row r="7">
          <cell r="B7">
            <v>50012</v>
          </cell>
          <cell r="C7" t="str">
            <v>凶蛮攻击</v>
          </cell>
        </row>
        <row r="8">
          <cell r="B8">
            <v>50013</v>
          </cell>
          <cell r="C8" t="str">
            <v>幸运</v>
          </cell>
        </row>
        <row r="9">
          <cell r="B9">
            <v>50014</v>
          </cell>
          <cell r="C9" t="str">
            <v>侏儒狡黠</v>
          </cell>
        </row>
        <row r="10">
          <cell r="B10">
            <v>50015</v>
          </cell>
          <cell r="C10" t="str">
            <v>吐息武器</v>
          </cell>
        </row>
        <row r="11">
          <cell r="B11">
            <v>50016</v>
          </cell>
          <cell r="C11" t="str">
            <v>炼狱叱喝</v>
          </cell>
        </row>
        <row r="12">
          <cell r="B12">
            <v>50017</v>
          </cell>
          <cell r="C12" t="str">
            <v>坚韧不屈</v>
          </cell>
        </row>
        <row r="13">
          <cell r="B13">
            <v>50701</v>
          </cell>
          <cell r="C13" t="str">
            <v>至圣斩</v>
          </cell>
        </row>
        <row r="14">
          <cell r="B14">
            <v>50702</v>
          </cell>
          <cell r="C14" t="str">
            <v>圣疗术</v>
          </cell>
        </row>
        <row r="15">
          <cell r="B15">
            <v>51201</v>
          </cell>
          <cell r="C15" t="str">
            <v>冷冻射线</v>
          </cell>
        </row>
        <row r="16">
          <cell r="B16">
            <v>51202</v>
          </cell>
          <cell r="C16" t="str">
            <v>火焰箭</v>
          </cell>
        </row>
        <row r="17">
          <cell r="B17">
            <v>50018</v>
          </cell>
          <cell r="C17" t="str">
            <v>突袭打击</v>
          </cell>
        </row>
        <row r="18">
          <cell r="B18">
            <v>50501</v>
          </cell>
          <cell r="C18" t="str">
            <v>回气</v>
          </cell>
        </row>
        <row r="19">
          <cell r="B19">
            <v>50502</v>
          </cell>
          <cell r="C19" t="str">
            <v>动作如潮</v>
          </cell>
        </row>
        <row r="20">
          <cell r="B20">
            <v>50503</v>
          </cell>
          <cell r="C20" t="str">
            <v>巨武器战斗</v>
          </cell>
        </row>
        <row r="21">
          <cell r="B21">
            <v>50801</v>
          </cell>
          <cell r="C21" t="str">
            <v>自然探索者</v>
          </cell>
        </row>
        <row r="22">
          <cell r="B22">
            <v>50301</v>
          </cell>
          <cell r="C22" t="str">
            <v>圣火术</v>
          </cell>
        </row>
        <row r="23">
          <cell r="B23">
            <v>50302</v>
          </cell>
          <cell r="C23" t="str">
            <v>祝福术</v>
          </cell>
        </row>
        <row r="24">
          <cell r="B24">
            <v>50303</v>
          </cell>
          <cell r="C24" t="str">
            <v>治愈真言</v>
          </cell>
        </row>
        <row r="25">
          <cell r="B25">
            <v>50201</v>
          </cell>
          <cell r="C25" t="str">
            <v>诗人激励</v>
          </cell>
        </row>
        <row r="26">
          <cell r="B26">
            <v>50202</v>
          </cell>
          <cell r="C26" t="str">
            <v>恶言相加</v>
          </cell>
        </row>
        <row r="27">
          <cell r="B27">
            <v>50203</v>
          </cell>
          <cell r="C27" t="str">
            <v>塔莎狂笑术</v>
          </cell>
        </row>
        <row r="28">
          <cell r="B28">
            <v>51001</v>
          </cell>
          <cell r="C28" t="str">
            <v>魔法飞弹</v>
          </cell>
        </row>
        <row r="29">
          <cell r="B29">
            <v>51002</v>
          </cell>
          <cell r="C29" t="str">
            <v>燃烧之手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L14" sqref="L14"/>
    </sheetView>
  </sheetViews>
  <sheetFormatPr defaultColWidth="9" defaultRowHeight="14.5" outlineLevelRow="6"/>
  <sheetData>
    <row r="1" spans="1: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 t="s">
        <v>8</v>
      </c>
      <c r="U1" s="2"/>
    </row>
    <row r="2" spans="1:21">
      <c r="A2" s="1" t="s">
        <v>9</v>
      </c>
      <c r="B2" s="1" t="s">
        <v>10</v>
      </c>
      <c r="C2" s="1" t="s">
        <v>11</v>
      </c>
      <c r="D2" s="2" t="s">
        <v>12</v>
      </c>
      <c r="E2" s="2" t="s">
        <v>13</v>
      </c>
      <c r="F2" s="2" t="s">
        <v>14</v>
      </c>
      <c r="G2" s="1" t="s">
        <v>15</v>
      </c>
      <c r="H2" s="2" t="s">
        <v>16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1" t="s">
        <v>9</v>
      </c>
      <c r="B3" s="1"/>
      <c r="C3" s="1"/>
      <c r="D3" s="3"/>
      <c r="E3" s="3"/>
      <c r="F3" s="3"/>
      <c r="G3" s="1"/>
      <c r="H3" s="2" t="s">
        <v>17</v>
      </c>
      <c r="I3" s="2"/>
      <c r="J3" s="2"/>
      <c r="K3" s="2"/>
      <c r="L3" s="2"/>
      <c r="M3" s="2"/>
      <c r="N3" s="1" t="s">
        <v>18</v>
      </c>
      <c r="O3" s="1" t="s">
        <v>19</v>
      </c>
      <c r="P3" s="1" t="s">
        <v>20</v>
      </c>
      <c r="Q3" s="1" t="s">
        <v>21</v>
      </c>
      <c r="R3" s="2" t="s">
        <v>22</v>
      </c>
      <c r="S3" s="2"/>
      <c r="T3" s="2"/>
      <c r="U3" s="2"/>
    </row>
    <row r="4" spans="1:21">
      <c r="A4" s="1" t="s">
        <v>9</v>
      </c>
      <c r="B4" s="1"/>
      <c r="C4" s="1"/>
      <c r="D4" s="3"/>
      <c r="E4" s="3"/>
      <c r="F4" s="3"/>
      <c r="G4" s="1"/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/>
      <c r="O4" s="1"/>
      <c r="P4" s="1"/>
      <c r="Q4" s="1"/>
      <c r="R4" s="2"/>
      <c r="S4" s="2"/>
      <c r="T4" s="2"/>
      <c r="U4" s="2"/>
    </row>
    <row r="5" spans="1:21">
      <c r="A5" s="1" t="s">
        <v>29</v>
      </c>
      <c r="B5" s="1" t="s">
        <v>30</v>
      </c>
      <c r="C5" s="1" t="s">
        <v>31</v>
      </c>
      <c r="D5" s="3" t="s">
        <v>32</v>
      </c>
      <c r="E5" s="3" t="s">
        <v>33</v>
      </c>
      <c r="F5" s="3" t="s">
        <v>34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43</v>
      </c>
      <c r="P5" s="1" t="s">
        <v>44</v>
      </c>
      <c r="Q5" s="1" t="s">
        <v>45</v>
      </c>
      <c r="R5" s="2" t="s">
        <v>46</v>
      </c>
      <c r="S5" s="2"/>
      <c r="T5" s="2"/>
      <c r="U5" s="2"/>
    </row>
    <row r="6" spans="1:21">
      <c r="A6" s="4"/>
      <c r="B6" s="4">
        <v>31001</v>
      </c>
      <c r="C6" s="5" t="s">
        <v>47</v>
      </c>
      <c r="D6" s="5" t="s">
        <v>47</v>
      </c>
      <c r="E6" s="5" t="s">
        <v>48</v>
      </c>
      <c r="F6" s="5" t="s">
        <v>49</v>
      </c>
      <c r="G6" s="5"/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 t="s">
        <v>50</v>
      </c>
      <c r="O6" s="6">
        <v>0</v>
      </c>
      <c r="P6" s="6">
        <v>0</v>
      </c>
      <c r="Q6" s="6">
        <v>0</v>
      </c>
      <c r="R6" s="6"/>
      <c r="S6" s="4"/>
      <c r="T6" s="4" t="str">
        <f>IF(R6="","",IFERROR(VLOOKUP(R6,[1]角色_能力!B:C,2,FALSE),"ERROR"))</f>
        <v/>
      </c>
      <c r="U6" s="4" t="str">
        <f>IF(S6="","",IFERROR(VLOOKUP(S6,[1]角色_能力!B:C,2,FALSE),"ERROR"))</f>
        <v/>
      </c>
    </row>
    <row r="7" spans="1:21">
      <c r="A7" s="4"/>
      <c r="B7" s="4">
        <v>31002</v>
      </c>
      <c r="C7" s="5" t="s">
        <v>51</v>
      </c>
      <c r="D7" s="5" t="s">
        <v>47</v>
      </c>
      <c r="E7" s="5" t="s">
        <v>48</v>
      </c>
      <c r="F7" s="5" t="s">
        <v>52</v>
      </c>
      <c r="G7" s="4"/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 t="s">
        <v>50</v>
      </c>
      <c r="O7" s="6">
        <v>0</v>
      </c>
      <c r="P7" s="6">
        <v>0</v>
      </c>
      <c r="Q7" s="6">
        <v>0</v>
      </c>
      <c r="R7" s="6"/>
      <c r="S7" s="4"/>
      <c r="T7" s="4"/>
      <c r="U7" s="4"/>
    </row>
  </sheetData>
  <mergeCells count="7">
    <mergeCell ref="H1:S1"/>
    <mergeCell ref="H2:S2"/>
    <mergeCell ref="H3:M3"/>
    <mergeCell ref="R3:S3"/>
    <mergeCell ref="R4:S4"/>
    <mergeCell ref="R5:S5"/>
    <mergeCell ref="T1:U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70CCAD87D53241368E717074A8E97FE2_12</vt:lpwstr>
  </property>
  <property fmtid="{D5CDD505-2E9C-101B-9397-08002B2CF9AE}" pid="3" name="KSOProductBuildVer">
    <vt:lpwstr>2057-12.2.0.23155</vt:lpwstr>
  </property>
</Properties>
</file>