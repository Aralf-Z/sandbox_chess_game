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<sst xmlns="http://schemas.openxmlformats.org/spreadsheetml/2006/main" count="135" uniqueCount="71">
  <si>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##var</t>
  </si>
  <si>
    <t>id</t>
  </si>
  <si>
    <t>name</t>
  </si>
  <si>
    <t>type_info</t>
  </si>
  <si>
    <t>##价格</t>
  </si>
  <si>
    <t>price</t>
  </si>
  <si>
    <t>description</t>
  </si>
  <si>
    <t>##type</t>
  </si>
  <si>
    <t>int</t>
  </si>
  <si>
    <t>string</t>
  </si>
  <si>
    <t>Character.ItemInfo</t>
  </si>
  <si>
    <t>$type</t>
  </si>
  <si>
    <t>##</t>
  </si>
  <si>
    <t>唯一id</t>
  </si>
  <si>
    <t>#id别称</t>
  </si>
  <si>
    <t>名称</t>
  </si>
  <si>
    <t>装备信息</t>
  </si>
  <si>
    <t>信息内容</t>
  </si>
  <si>
    <t>铜币(cp)</t>
  </si>
  <si>
    <t>银币(sp)</t>
  </si>
  <si>
    <t>银金币(ep)</t>
  </si>
  <si>
    <t>金币(gp)</t>
  </si>
  <si>
    <t>铂金币(pp)</t>
  </si>
  <si>
    <t>价格(cp)</t>
  </si>
  <si>
    <t>文本描述</t>
  </si>
  <si>
    <t>布袍</t>
  </si>
  <si>
    <t>无甲信息</t>
  </si>
  <si>
    <t>布甲</t>
  </si>
  <si>
    <t>轻甲信息</t>
  </si>
  <si>
    <t>皮甲</t>
  </si>
  <si>
    <t>镶钉皮甲</t>
  </si>
  <si>
    <t>兽皮甲</t>
  </si>
  <si>
    <t>中甲信息</t>
  </si>
  <si>
    <t>链甲衫</t>
  </si>
  <si>
    <t>鳞甲</t>
  </si>
  <si>
    <t>胸甲</t>
  </si>
  <si>
    <t>半身板甲</t>
  </si>
  <si>
    <t>环甲</t>
  </si>
  <si>
    <t>重甲信息</t>
  </si>
  <si>
    <t>链甲</t>
  </si>
  <si>
    <t>板条甲</t>
  </si>
  <si>
    <t>板甲</t>
  </si>
  <si>
    <t>盾牌</t>
  </si>
  <si>
    <t>盾牌信息</t>
  </si>
  <si>
    <t>短棒</t>
  </si>
  <si>
    <t>武器信息</t>
  </si>
  <si>
    <t>匕首</t>
  </si>
  <si>
    <t>巨棒</t>
  </si>
  <si>
    <t>手斧</t>
  </si>
  <si>
    <t>标枪</t>
  </si>
  <si>
    <t>长棍</t>
  </si>
  <si>
    <t>镰刀</t>
  </si>
  <si>
    <t>矛</t>
  </si>
  <si>
    <t>轻弩</t>
  </si>
  <si>
    <t>飞镖</t>
  </si>
  <si>
    <t>短弓</t>
  </si>
  <si>
    <t>战斧</t>
  </si>
  <si>
    <t>链枷</t>
  </si>
  <si>
    <t>巨斧</t>
  </si>
  <si>
    <t>巨剑</t>
  </si>
  <si>
    <t>长剑</t>
  </si>
  <si>
    <t>巨锤</t>
  </si>
  <si>
    <t>长矛</t>
  </si>
  <si>
    <t>刺剑</t>
  </si>
  <si>
    <t>弯刀</t>
  </si>
  <si>
    <t>短剑</t>
  </si>
  <si>
    <t>战锤</t>
  </si>
  <si>
    <t>辉黯</t>
  </si>
  <si>
    <t>手弩</t>
  </si>
  <si>
    <t>重弩</t>
  </si>
  <si>
    <t>长弓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</si>
</sst>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 wrapText="1"/>
    </xf>
    <xf numFmtId="0" fontId="1" fillId="2" borderId="1" xfId="17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16" applyNumberFormat="1" applyFont="1" applyFill="1" applyBorder="1" applyAlignment="1" applyProtection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16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vertical="center"/>
    </xf>
    <xf numFmtId="0" fontId="1" fillId="2" borderId="3" xfId="17" applyNumberFormat="1" applyFont="1" applyFill="1" applyBorder="1" applyAlignment="1" applyProtection="1">
      <alignment horizontal="center" vertical="center" wrapText="1"/>
    </xf>
    <xf numFmtId="0" fontId="1" fillId="4" borderId="2" xfId="17" applyNumberFormat="1" applyFont="1" applyFill="1" applyBorder="1" applyAlignment="1" applyProtection="1">
      <alignment horizontal="left" vertical="center" wrapText="1"/>
    </xf>
    <xf numFmtId="0" fontId="1" fillId="2" borderId="4" xfId="17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workbookViewId="0">
      <selection activeCell="W6" sqref="W6"/>
    </sheetView>
  </sheetViews>
  <sheetFormatPr defaultColWidth="9" defaultRowHeight="14.5"/>
  <sheetData>
    <row r="1" ht="28" spans="1:14">
      <c r="A1" s="1" t="s">
        <v>0</v>
      </c>
      <c r="B1" s="2" t="s">
        <v>1</v>
      </c>
      <c r="C1" s="3"/>
      <c r="D1" s="1" t="s">
        <v>2</v>
      </c>
      <c r="E1" s="4" t="s">
        <v>3</v>
      </c>
      <c r="F1" s="4"/>
      <c r="G1" s="4"/>
      <c r="H1" s="5" t="s">
        <v>4</v>
      </c>
      <c r="I1" s="5"/>
      <c r="J1" s="5"/>
      <c r="K1" s="5"/>
      <c r="L1" s="13"/>
      <c r="M1" s="14" t="s">
        <v>5</v>
      </c>
      <c r="N1" s="15" t="s">
        <v>6</v>
      </c>
    </row>
    <row r="2" spans="1:14">
      <c r="A2" s="1" t="s">
        <v>7</v>
      </c>
      <c r="B2" s="2" t="s">
        <v>8</v>
      </c>
      <c r="C2" s="3"/>
      <c r="D2" s="1" t="s">
        <v>9</v>
      </c>
      <c r="E2" s="4" t="s">
        <v>10</v>
      </c>
      <c r="F2" s="4"/>
      <c r="G2" s="4"/>
      <c r="H2" s="5"/>
      <c r="I2" s="5"/>
      <c r="J2" s="5"/>
      <c r="K2" s="5"/>
      <c r="L2" s="13"/>
      <c r="M2" s="14" t="s">
        <v>8</v>
      </c>
      <c r="N2" s="15" t="s">
        <v>9</v>
      </c>
    </row>
    <row r="3" spans="1:14">
      <c r="A3" s="1" t="s">
        <v>7</v>
      </c>
      <c r="B3" s="1"/>
      <c r="C3" s="1"/>
      <c r="D3" s="1"/>
      <c r="E3" s="1" t="s">
        <v>11</v>
      </c>
      <c r="F3" s="5"/>
      <c r="G3" s="5"/>
      <c r="H3" s="5"/>
      <c r="I3" s="5"/>
      <c r="J3" s="5"/>
      <c r="K3" s="5"/>
      <c r="L3" s="13"/>
      <c r="M3" s="14"/>
      <c r="N3" s="15"/>
    </row>
    <row r="4" spans="1:14">
      <c r="A4" s="1" t="s">
        <v>7</v>
      </c>
      <c r="B4" s="1"/>
      <c r="C4" s="1"/>
      <c r="D4" s="1"/>
      <c r="E4" s="1"/>
      <c r="F4" s="5"/>
      <c r="G4" s="5"/>
      <c r="H4" s="5"/>
      <c r="I4" s="5"/>
      <c r="J4" s="5"/>
      <c r="K4" s="5"/>
      <c r="L4" s="13"/>
      <c r="M4" s="14"/>
      <c r="N4" s="15"/>
    </row>
    <row r="5" ht="28" spans="1:14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5" t="s">
        <v>17</v>
      </c>
      <c r="G5" s="5"/>
      <c r="H5" s="5" t="s">
        <v>18</v>
      </c>
      <c r="I5" s="5" t="s">
        <v>19</v>
      </c>
      <c r="J5" s="5" t="s">
        <v>20</v>
      </c>
      <c r="K5" s="5" t="s">
        <v>21</v>
      </c>
      <c r="L5" s="13" t="s">
        <v>22</v>
      </c>
      <c r="M5" s="14" t="s">
        <v>23</v>
      </c>
      <c r="N5" s="15" t="s">
        <v>24</v>
      </c>
    </row>
    <row r="6" ht="42" spans="1:14">
      <c r="A6" s="7"/>
      <c r="B6" s="8">
        <v>40101</v>
      </c>
      <c r="C6" s="9" t="str">
        <f>D6</f>
        <v>布袍</v>
      </c>
      <c r="D6" s="9" t="s">
        <v>25</v>
      </c>
      <c r="E6" s="9" t="s">
        <v>26</v>
      </c>
      <c r="F6" s="7"/>
      <c r="G6" s="7"/>
      <c r="H6" s="7"/>
      <c r="I6" s="7"/>
      <c r="J6" s="7"/>
      <c r="K6" s="16">
        <v>2</v>
      </c>
      <c r="L6" s="16"/>
      <c r="M6" s="17">
        <f t="shared" ref="M6:M45" si="0">H6+10*I6+50*J6+100*K6+1000*L6</f>
        <v>200</v>
      </c>
      <c r="N6" s="18" t="str">
        <f t="shared" ref="N6:N45" si="1">"这是关于“"&amp;D6&amp;"”的描述。"</f>
        <v>这是关于“布袍”的描述。</v>
      </c>
    </row>
    <row r="7" ht="42" spans="1:14">
      <c r="A7" s="7"/>
      <c r="B7" s="10">
        <v>40201</v>
      </c>
      <c r="C7" s="11" t="str">
        <f>D7</f>
        <v>布甲</v>
      </c>
      <c r="D7" s="11" t="s">
        <v>27</v>
      </c>
      <c r="E7" s="11" t="s">
        <v>28</v>
      </c>
      <c r="F7" s="7">
        <v>11</v>
      </c>
      <c r="G7" s="7"/>
      <c r="H7" s="7"/>
      <c r="I7" s="7"/>
      <c r="J7" s="7"/>
      <c r="K7" s="16">
        <v>5</v>
      </c>
      <c r="L7" s="16"/>
      <c r="M7" s="17">
        <f t="shared" si="0"/>
        <v>500</v>
      </c>
      <c r="N7" s="18" t="str">
        <f t="shared" si="1"/>
        <v>这是关于“布甲”的描述。</v>
      </c>
    </row>
    <row r="8" ht="42" spans="1:14">
      <c r="A8" s="7"/>
      <c r="B8" s="10">
        <v>40202</v>
      </c>
      <c r="C8" s="11" t="str">
        <f>D8</f>
        <v>皮甲</v>
      </c>
      <c r="D8" s="11" t="s">
        <v>29</v>
      </c>
      <c r="E8" s="11" t="s">
        <v>28</v>
      </c>
      <c r="F8" s="7">
        <v>11</v>
      </c>
      <c r="G8" s="7"/>
      <c r="H8" s="7"/>
      <c r="I8" s="7"/>
      <c r="J8" s="7"/>
      <c r="K8" s="16">
        <v>10</v>
      </c>
      <c r="L8" s="16"/>
      <c r="M8" s="17">
        <f t="shared" si="0"/>
        <v>1000</v>
      </c>
      <c r="N8" s="18" t="str">
        <f t="shared" si="1"/>
        <v>这是关于“皮甲”的描述。</v>
      </c>
    </row>
    <row r="9" ht="56" spans="1:14">
      <c r="A9" s="7"/>
      <c r="B9" s="10">
        <v>40203</v>
      </c>
      <c r="C9" s="11" t="str">
        <f>D9</f>
        <v>镶钉皮甲</v>
      </c>
      <c r="D9" s="11" t="s">
        <v>30</v>
      </c>
      <c r="E9" s="11" t="s">
        <v>28</v>
      </c>
      <c r="F9" s="7">
        <v>12</v>
      </c>
      <c r="G9" s="7"/>
      <c r="H9" s="7"/>
      <c r="I9" s="7"/>
      <c r="J9" s="7"/>
      <c r="K9" s="16">
        <v>45</v>
      </c>
      <c r="L9" s="16"/>
      <c r="M9" s="17">
        <f t="shared" si="0"/>
        <v>4500</v>
      </c>
      <c r="N9" s="18" t="str">
        <f t="shared" si="1"/>
        <v>这是关于“镶钉皮甲”的描述。</v>
      </c>
    </row>
    <row r="10" ht="42" spans="1:14">
      <c r="A10" s="7"/>
      <c r="B10" s="8">
        <v>40301</v>
      </c>
      <c r="C10" s="9" t="str">
        <f>D10</f>
        <v>兽皮甲</v>
      </c>
      <c r="D10" s="9" t="s">
        <v>31</v>
      </c>
      <c r="E10" s="9" t="s">
        <v>32</v>
      </c>
      <c r="F10" s="7">
        <v>12</v>
      </c>
      <c r="G10" s="7">
        <v>2</v>
      </c>
      <c r="H10" s="7"/>
      <c r="I10" s="7"/>
      <c r="J10" s="7"/>
      <c r="K10" s="16">
        <v>10</v>
      </c>
      <c r="L10" s="16"/>
      <c r="M10" s="17">
        <f t="shared" si="0"/>
        <v>1000</v>
      </c>
      <c r="N10" s="18" t="str">
        <f t="shared" si="1"/>
        <v>这是关于“兽皮甲”的描述。</v>
      </c>
    </row>
    <row r="11" ht="42" spans="1:14">
      <c r="A11" s="7"/>
      <c r="B11" s="8">
        <v>40302</v>
      </c>
      <c r="C11" s="9" t="str">
        <f>D11</f>
        <v>链甲衫</v>
      </c>
      <c r="D11" s="9" t="s">
        <v>33</v>
      </c>
      <c r="E11" s="9" t="s">
        <v>32</v>
      </c>
      <c r="F11" s="7">
        <v>13</v>
      </c>
      <c r="G11" s="7">
        <v>2</v>
      </c>
      <c r="H11" s="7"/>
      <c r="I11" s="7"/>
      <c r="J11" s="7"/>
      <c r="K11" s="16">
        <v>50</v>
      </c>
      <c r="L11" s="16"/>
      <c r="M11" s="17">
        <f t="shared" si="0"/>
        <v>5000</v>
      </c>
      <c r="N11" s="18" t="str">
        <f t="shared" si="1"/>
        <v>这是关于“链甲衫”的描述。</v>
      </c>
    </row>
    <row r="12" ht="42" spans="1:14">
      <c r="A12" s="7"/>
      <c r="B12" s="8">
        <v>40303</v>
      </c>
      <c r="C12" s="9" t="str">
        <f>D12</f>
        <v>鳞甲</v>
      </c>
      <c r="D12" s="9" t="s">
        <v>34</v>
      </c>
      <c r="E12" s="9" t="s">
        <v>32</v>
      </c>
      <c r="F12" s="7">
        <v>14</v>
      </c>
      <c r="G12" s="7">
        <v>2</v>
      </c>
      <c r="H12" s="7"/>
      <c r="I12" s="7"/>
      <c r="J12" s="7"/>
      <c r="K12" s="16">
        <v>50</v>
      </c>
      <c r="L12" s="16"/>
      <c r="M12" s="17">
        <f t="shared" si="0"/>
        <v>5000</v>
      </c>
      <c r="N12" s="18" t="str">
        <f t="shared" si="1"/>
        <v>这是关于“鳞甲”的描述。</v>
      </c>
    </row>
    <row r="13" ht="42" spans="1:14">
      <c r="A13" s="7"/>
      <c r="B13" s="8">
        <v>40304</v>
      </c>
      <c r="C13" s="9" t="str">
        <f>D13</f>
        <v>胸甲</v>
      </c>
      <c r="D13" s="9" t="s">
        <v>35</v>
      </c>
      <c r="E13" s="9" t="s">
        <v>32</v>
      </c>
      <c r="F13" s="7">
        <v>14</v>
      </c>
      <c r="G13" s="7">
        <v>2</v>
      </c>
      <c r="H13" s="7"/>
      <c r="I13" s="7"/>
      <c r="J13" s="7"/>
      <c r="K13" s="16">
        <v>400</v>
      </c>
      <c r="L13" s="16"/>
      <c r="M13" s="17">
        <f t="shared" si="0"/>
        <v>40000</v>
      </c>
      <c r="N13" s="18" t="str">
        <f t="shared" si="1"/>
        <v>这是关于“胸甲”的描述。</v>
      </c>
    </row>
    <row r="14" ht="56" spans="1:14">
      <c r="A14" s="7"/>
      <c r="B14" s="8">
        <v>40305</v>
      </c>
      <c r="C14" s="9" t="str">
        <f>D14</f>
        <v>半身板甲</v>
      </c>
      <c r="D14" s="9" t="s">
        <v>36</v>
      </c>
      <c r="E14" s="9" t="s">
        <v>32</v>
      </c>
      <c r="F14" s="7">
        <v>15</v>
      </c>
      <c r="G14" s="7">
        <v>2</v>
      </c>
      <c r="H14" s="7"/>
      <c r="I14" s="7"/>
      <c r="J14" s="7"/>
      <c r="K14" s="16">
        <v>750</v>
      </c>
      <c r="L14" s="16"/>
      <c r="M14" s="17">
        <f t="shared" si="0"/>
        <v>75000</v>
      </c>
      <c r="N14" s="18" t="str">
        <f t="shared" si="1"/>
        <v>这是关于“半身板甲”的描述。</v>
      </c>
    </row>
    <row r="15" ht="42" spans="1:14">
      <c r="A15" s="7"/>
      <c r="B15" s="10">
        <v>40401</v>
      </c>
      <c r="C15" s="11" t="str">
        <f>D15</f>
        <v>环甲</v>
      </c>
      <c r="D15" s="11" t="s">
        <v>37</v>
      </c>
      <c r="E15" s="11" t="s">
        <v>38</v>
      </c>
      <c r="F15" s="7">
        <v>14</v>
      </c>
      <c r="G15" s="7">
        <v>0</v>
      </c>
      <c r="H15" s="7"/>
      <c r="I15" s="7"/>
      <c r="J15" s="7"/>
      <c r="K15" s="16">
        <v>30</v>
      </c>
      <c r="L15" s="16"/>
      <c r="M15" s="17">
        <f t="shared" si="0"/>
        <v>3000</v>
      </c>
      <c r="N15" s="18" t="str">
        <f t="shared" si="1"/>
        <v>这是关于“环甲”的描述。</v>
      </c>
    </row>
    <row r="16" ht="42" spans="1:14">
      <c r="A16" s="7"/>
      <c r="B16" s="10">
        <v>40402</v>
      </c>
      <c r="C16" s="11" t="str">
        <f>D16</f>
        <v>链甲</v>
      </c>
      <c r="D16" s="11" t="s">
        <v>39</v>
      </c>
      <c r="E16" s="11" t="s">
        <v>38</v>
      </c>
      <c r="F16" s="7">
        <v>16</v>
      </c>
      <c r="G16" s="7">
        <v>13</v>
      </c>
      <c r="H16" s="7"/>
      <c r="I16" s="7"/>
      <c r="J16" s="7"/>
      <c r="K16" s="16">
        <v>75</v>
      </c>
      <c r="L16" s="16"/>
      <c r="M16" s="17">
        <f t="shared" si="0"/>
        <v>7500</v>
      </c>
      <c r="N16" s="18" t="str">
        <f t="shared" si="1"/>
        <v>这是关于“链甲”的描述。</v>
      </c>
    </row>
    <row r="17" ht="42" spans="1:14">
      <c r="A17" s="7"/>
      <c r="B17" s="10">
        <v>40403</v>
      </c>
      <c r="C17" s="11" t="str">
        <f>D17</f>
        <v>板条甲</v>
      </c>
      <c r="D17" s="11" t="s">
        <v>40</v>
      </c>
      <c r="E17" s="11" t="s">
        <v>38</v>
      </c>
      <c r="F17" s="7">
        <v>17</v>
      </c>
      <c r="G17" s="7">
        <v>15</v>
      </c>
      <c r="H17" s="7"/>
      <c r="I17" s="7"/>
      <c r="J17" s="7"/>
      <c r="K17" s="16">
        <v>200</v>
      </c>
      <c r="L17" s="16"/>
      <c r="M17" s="17">
        <f t="shared" si="0"/>
        <v>20000</v>
      </c>
      <c r="N17" s="18" t="str">
        <f t="shared" si="1"/>
        <v>这是关于“板条甲”的描述。</v>
      </c>
    </row>
    <row r="18" ht="42" spans="1:14">
      <c r="A18" s="7"/>
      <c r="B18" s="10">
        <v>40404</v>
      </c>
      <c r="C18" s="11" t="str">
        <f>D18</f>
        <v>板甲</v>
      </c>
      <c r="D18" s="11" t="s">
        <v>41</v>
      </c>
      <c r="E18" s="11" t="s">
        <v>38</v>
      </c>
      <c r="F18" s="7">
        <v>18</v>
      </c>
      <c r="G18" s="7">
        <v>15</v>
      </c>
      <c r="H18" s="7"/>
      <c r="I18" s="7"/>
      <c r="J18" s="7"/>
      <c r="K18" s="16">
        <v>1500</v>
      </c>
      <c r="L18" s="16"/>
      <c r="M18" s="17">
        <f t="shared" si="0"/>
        <v>150000</v>
      </c>
      <c r="N18" s="18" t="str">
        <f t="shared" si="1"/>
        <v>这是关于“板甲”的描述。</v>
      </c>
    </row>
    <row r="19" ht="42" spans="1:14">
      <c r="A19" s="7"/>
      <c r="B19" s="8">
        <v>40501</v>
      </c>
      <c r="C19" s="9" t="str">
        <f>D19</f>
        <v>盾牌</v>
      </c>
      <c r="D19" s="9" t="s">
        <v>42</v>
      </c>
      <c r="E19" s="9" t="s">
        <v>43</v>
      </c>
      <c r="F19" s="7">
        <v>2</v>
      </c>
      <c r="G19" s="7"/>
      <c r="H19" s="7"/>
      <c r="I19" s="7"/>
      <c r="J19" s="7"/>
      <c r="K19" s="16">
        <v>10</v>
      </c>
      <c r="L19" s="16"/>
      <c r="M19" s="17">
        <f t="shared" si="0"/>
        <v>1000</v>
      </c>
      <c r="N19" s="18" t="str">
        <f t="shared" si="1"/>
        <v>这是关于“盾牌”的描述。</v>
      </c>
    </row>
    <row r="20" ht="42" spans="1:14">
      <c r="A20" s="7"/>
      <c r="B20" s="10">
        <v>40601</v>
      </c>
      <c r="C20" s="11" t="str">
        <f>D20</f>
        <v>短棒</v>
      </c>
      <c r="D20" s="11" t="s">
        <v>44</v>
      </c>
      <c r="E20" s="11" t="s">
        <v>45</v>
      </c>
      <c r="F20" s="7" t="s">
        <v>44</v>
      </c>
      <c r="G20" s="7"/>
      <c r="H20" s="7"/>
      <c r="I20" s="7">
        <v>1</v>
      </c>
      <c r="J20" s="7"/>
      <c r="K20" s="7"/>
      <c r="L20" s="16"/>
      <c r="M20" s="17">
        <f t="shared" si="0"/>
        <v>10</v>
      </c>
      <c r="N20" s="18" t="str">
        <f t="shared" si="1"/>
        <v>这是关于“短棒”的描述。</v>
      </c>
    </row>
    <row r="21" ht="42" spans="1:14">
      <c r="A21" s="7"/>
      <c r="B21" s="8">
        <v>40701</v>
      </c>
      <c r="C21" s="9" t="str">
        <f>D21</f>
        <v>匕首</v>
      </c>
      <c r="D21" s="9" t="s">
        <v>46</v>
      </c>
      <c r="E21" s="9" t="s">
        <v>45</v>
      </c>
      <c r="F21" s="7" t="s">
        <v>46</v>
      </c>
      <c r="G21" s="7"/>
      <c r="H21" s="7"/>
      <c r="I21" s="7"/>
      <c r="J21" s="7"/>
      <c r="K21" s="7">
        <v>2</v>
      </c>
      <c r="L21" s="16"/>
      <c r="M21" s="17">
        <f t="shared" si="0"/>
        <v>200</v>
      </c>
      <c r="N21" s="18" t="str">
        <f t="shared" si="1"/>
        <v>这是关于“匕首”的描述。</v>
      </c>
    </row>
    <row r="22" ht="42" spans="1:14">
      <c r="A22" s="7"/>
      <c r="B22" s="10">
        <v>40801</v>
      </c>
      <c r="C22" s="11" t="str">
        <f>D22</f>
        <v>巨棒</v>
      </c>
      <c r="D22" s="11" t="s">
        <v>47</v>
      </c>
      <c r="E22" s="11" t="s">
        <v>45</v>
      </c>
      <c r="F22" s="7" t="s">
        <v>47</v>
      </c>
      <c r="G22" s="7"/>
      <c r="H22" s="7"/>
      <c r="I22" s="7">
        <v>2</v>
      </c>
      <c r="J22" s="7"/>
      <c r="K22" s="7"/>
      <c r="L22" s="16"/>
      <c r="M22" s="17">
        <f t="shared" si="0"/>
        <v>20</v>
      </c>
      <c r="N22" s="18" t="str">
        <f t="shared" si="1"/>
        <v>这是关于“巨棒”的描述。</v>
      </c>
    </row>
    <row r="23" ht="42" spans="1:14">
      <c r="A23" s="7"/>
      <c r="B23" s="8">
        <v>40901</v>
      </c>
      <c r="C23" s="9" t="str">
        <f>D23</f>
        <v>手斧</v>
      </c>
      <c r="D23" s="9" t="s">
        <v>48</v>
      </c>
      <c r="E23" s="9" t="s">
        <v>45</v>
      </c>
      <c r="F23" s="7" t="s">
        <v>48</v>
      </c>
      <c r="G23" s="7"/>
      <c r="H23" s="7"/>
      <c r="I23" s="7"/>
      <c r="J23" s="7"/>
      <c r="K23" s="7">
        <v>5</v>
      </c>
      <c r="L23" s="16"/>
      <c r="M23" s="17">
        <f t="shared" si="0"/>
        <v>500</v>
      </c>
      <c r="N23" s="18" t="str">
        <f t="shared" si="1"/>
        <v>这是关于“手斧”的描述。</v>
      </c>
    </row>
    <row r="24" ht="42" spans="1:14">
      <c r="A24" s="7"/>
      <c r="B24" s="10">
        <v>41001</v>
      </c>
      <c r="C24" s="11" t="str">
        <f>D24</f>
        <v>标枪</v>
      </c>
      <c r="D24" s="11" t="s">
        <v>49</v>
      </c>
      <c r="E24" s="11" t="s">
        <v>45</v>
      </c>
      <c r="F24" s="7" t="s">
        <v>49</v>
      </c>
      <c r="G24" s="7"/>
      <c r="H24" s="7"/>
      <c r="I24" s="7">
        <v>5</v>
      </c>
      <c r="J24" s="7"/>
      <c r="K24" s="7"/>
      <c r="L24" s="16"/>
      <c r="M24" s="17">
        <f t="shared" si="0"/>
        <v>50</v>
      </c>
      <c r="N24" s="18" t="str">
        <f t="shared" si="1"/>
        <v>这是关于“标枪”的描述。</v>
      </c>
    </row>
    <row r="25" ht="42" spans="1:14">
      <c r="A25" s="7"/>
      <c r="B25" s="8">
        <v>41101</v>
      </c>
      <c r="C25" s="9" t="str">
        <f>D25</f>
        <v>长棍</v>
      </c>
      <c r="D25" s="9" t="s">
        <v>50</v>
      </c>
      <c r="E25" s="9" t="s">
        <v>45</v>
      </c>
      <c r="F25" s="7" t="s">
        <v>50</v>
      </c>
      <c r="G25" s="7"/>
      <c r="H25" s="7"/>
      <c r="I25" s="7">
        <v>2</v>
      </c>
      <c r="J25" s="7"/>
      <c r="K25" s="7"/>
      <c r="L25" s="16"/>
      <c r="M25" s="17">
        <f t="shared" si="0"/>
        <v>20</v>
      </c>
      <c r="N25" s="18" t="str">
        <f t="shared" si="1"/>
        <v>这是关于“长棍”的描述。</v>
      </c>
    </row>
    <row r="26" ht="42" spans="1:14">
      <c r="A26" s="7"/>
      <c r="B26" s="10">
        <v>41201</v>
      </c>
      <c r="C26" s="11" t="str">
        <f>D26</f>
        <v>镰刀</v>
      </c>
      <c r="D26" s="11" t="s">
        <v>51</v>
      </c>
      <c r="E26" s="11" t="s">
        <v>45</v>
      </c>
      <c r="F26" s="7" t="s">
        <v>51</v>
      </c>
      <c r="G26" s="7"/>
      <c r="H26" s="7"/>
      <c r="I26" s="7"/>
      <c r="J26" s="7"/>
      <c r="K26" s="7">
        <v>1</v>
      </c>
      <c r="L26" s="16"/>
      <c r="M26" s="17">
        <f t="shared" si="0"/>
        <v>100</v>
      </c>
      <c r="N26" s="18" t="str">
        <f t="shared" si="1"/>
        <v>这是关于“镰刀”的描述。</v>
      </c>
    </row>
    <row r="27" ht="42" spans="1:14">
      <c r="A27" s="7"/>
      <c r="B27" s="8">
        <v>41301</v>
      </c>
      <c r="C27" s="9" t="str">
        <f>D27</f>
        <v>矛</v>
      </c>
      <c r="D27" s="9" t="s">
        <v>52</v>
      </c>
      <c r="E27" s="9" t="s">
        <v>45</v>
      </c>
      <c r="F27" s="7" t="s">
        <v>52</v>
      </c>
      <c r="G27" s="7"/>
      <c r="H27" s="7"/>
      <c r="I27" s="7"/>
      <c r="J27" s="7"/>
      <c r="K27" s="7">
        <v>1</v>
      </c>
      <c r="L27" s="16"/>
      <c r="M27" s="17">
        <f t="shared" si="0"/>
        <v>100</v>
      </c>
      <c r="N27" s="18" t="str">
        <f t="shared" si="1"/>
        <v>这是关于“矛”的描述。</v>
      </c>
    </row>
    <row r="28" ht="42" spans="1:14">
      <c r="A28" s="7"/>
      <c r="B28" s="10">
        <v>41401</v>
      </c>
      <c r="C28" s="11" t="str">
        <f>D28</f>
        <v>轻弩</v>
      </c>
      <c r="D28" s="11" t="s">
        <v>53</v>
      </c>
      <c r="E28" s="11" t="s">
        <v>45</v>
      </c>
      <c r="F28" s="7" t="s">
        <v>53</v>
      </c>
      <c r="G28" s="7"/>
      <c r="H28" s="7"/>
      <c r="I28" s="7"/>
      <c r="J28" s="7"/>
      <c r="K28" s="7">
        <v>25</v>
      </c>
      <c r="L28" s="16"/>
      <c r="M28" s="17">
        <f t="shared" si="0"/>
        <v>2500</v>
      </c>
      <c r="N28" s="18" t="str">
        <f t="shared" si="1"/>
        <v>这是关于“轻弩”的描述。</v>
      </c>
    </row>
    <row r="29" ht="42" spans="1:14">
      <c r="A29" s="7"/>
      <c r="B29" s="8">
        <v>41501</v>
      </c>
      <c r="C29" s="9" t="str">
        <f>D29</f>
        <v>飞镖</v>
      </c>
      <c r="D29" s="9" t="s">
        <v>54</v>
      </c>
      <c r="E29" s="9" t="s">
        <v>45</v>
      </c>
      <c r="F29" s="7" t="s">
        <v>54</v>
      </c>
      <c r="G29" s="7"/>
      <c r="H29" s="7">
        <v>5</v>
      </c>
      <c r="I29" s="7"/>
      <c r="J29" s="7"/>
      <c r="K29" s="7"/>
      <c r="L29" s="16"/>
      <c r="M29" s="17">
        <f t="shared" si="0"/>
        <v>5</v>
      </c>
      <c r="N29" s="18" t="str">
        <f t="shared" si="1"/>
        <v>这是关于“飞镖”的描述。</v>
      </c>
    </row>
    <row r="30" ht="42" spans="1:14">
      <c r="A30" s="7"/>
      <c r="B30" s="10">
        <v>41601</v>
      </c>
      <c r="C30" s="11" t="str">
        <f>D30</f>
        <v>短弓</v>
      </c>
      <c r="D30" s="11" t="s">
        <v>55</v>
      </c>
      <c r="E30" s="11" t="s">
        <v>45</v>
      </c>
      <c r="F30" s="7" t="s">
        <v>55</v>
      </c>
      <c r="G30" s="7"/>
      <c r="H30" s="7"/>
      <c r="I30" s="7"/>
      <c r="J30" s="7"/>
      <c r="K30" s="7">
        <v>25</v>
      </c>
      <c r="L30" s="16"/>
      <c r="M30" s="17">
        <f t="shared" si="0"/>
        <v>2500</v>
      </c>
      <c r="N30" s="18" t="str">
        <f t="shared" si="1"/>
        <v>这是关于“短弓”的描述。</v>
      </c>
    </row>
    <row r="31" ht="42" spans="1:14">
      <c r="A31" s="7"/>
      <c r="B31" s="8">
        <v>41701</v>
      </c>
      <c r="C31" s="9" t="str">
        <f>D31</f>
        <v>战斧</v>
      </c>
      <c r="D31" s="9" t="s">
        <v>56</v>
      </c>
      <c r="E31" s="9" t="s">
        <v>45</v>
      </c>
      <c r="F31" s="7" t="s">
        <v>56</v>
      </c>
      <c r="G31" s="7"/>
      <c r="H31" s="7"/>
      <c r="I31" s="7"/>
      <c r="J31" s="7"/>
      <c r="K31" s="7">
        <v>10</v>
      </c>
      <c r="L31" s="16"/>
      <c r="M31" s="17">
        <f t="shared" si="0"/>
        <v>1000</v>
      </c>
      <c r="N31" s="18" t="str">
        <f t="shared" si="1"/>
        <v>这是关于“战斧”的描述。</v>
      </c>
    </row>
    <row r="32" ht="42" spans="1:14">
      <c r="A32" s="7"/>
      <c r="B32" s="10">
        <v>41801</v>
      </c>
      <c r="C32" s="11" t="str">
        <f>D32</f>
        <v>链枷</v>
      </c>
      <c r="D32" s="11" t="s">
        <v>57</v>
      </c>
      <c r="E32" s="11" t="s">
        <v>45</v>
      </c>
      <c r="F32" s="7" t="s">
        <v>57</v>
      </c>
      <c r="G32" s="7"/>
      <c r="H32" s="7"/>
      <c r="I32" s="7"/>
      <c r="J32" s="7"/>
      <c r="K32" s="7">
        <v>10</v>
      </c>
      <c r="L32" s="16"/>
      <c r="M32" s="17">
        <f t="shared" si="0"/>
        <v>1000</v>
      </c>
      <c r="N32" s="18" t="str">
        <f t="shared" si="1"/>
        <v>这是关于“链枷”的描述。</v>
      </c>
    </row>
    <row r="33" ht="42" spans="1:14">
      <c r="A33" s="7"/>
      <c r="B33" s="8">
        <v>41901</v>
      </c>
      <c r="C33" s="9" t="str">
        <f>D33</f>
        <v>巨斧</v>
      </c>
      <c r="D33" s="9" t="s">
        <v>58</v>
      </c>
      <c r="E33" s="9" t="s">
        <v>45</v>
      </c>
      <c r="F33" s="7" t="s">
        <v>58</v>
      </c>
      <c r="G33" s="7"/>
      <c r="H33" s="7"/>
      <c r="I33" s="7"/>
      <c r="J33" s="7"/>
      <c r="K33" s="7">
        <v>30</v>
      </c>
      <c r="L33" s="16"/>
      <c r="M33" s="17">
        <f t="shared" si="0"/>
        <v>3000</v>
      </c>
      <c r="N33" s="18" t="str">
        <f t="shared" si="1"/>
        <v>这是关于“巨斧”的描述。</v>
      </c>
    </row>
    <row r="34" ht="42" spans="1:14">
      <c r="A34" s="7"/>
      <c r="B34" s="10">
        <v>42001</v>
      </c>
      <c r="C34" s="11" t="str">
        <f>D34</f>
        <v>巨剑</v>
      </c>
      <c r="D34" s="11" t="s">
        <v>59</v>
      </c>
      <c r="E34" s="11" t="s">
        <v>45</v>
      </c>
      <c r="F34" s="7" t="s">
        <v>59</v>
      </c>
      <c r="G34" s="7"/>
      <c r="H34" s="7"/>
      <c r="I34" s="7"/>
      <c r="J34" s="7"/>
      <c r="K34" s="7">
        <v>50</v>
      </c>
      <c r="L34" s="16"/>
      <c r="M34" s="17">
        <f t="shared" si="0"/>
        <v>5000</v>
      </c>
      <c r="N34" s="18" t="str">
        <f t="shared" si="1"/>
        <v>这是关于“巨剑”的描述。</v>
      </c>
    </row>
    <row r="35" ht="42" spans="1:14">
      <c r="A35" s="7"/>
      <c r="B35" s="8">
        <v>42101</v>
      </c>
      <c r="C35" s="9" t="str">
        <f>D35</f>
        <v>长剑</v>
      </c>
      <c r="D35" s="9" t="s">
        <v>60</v>
      </c>
      <c r="E35" s="9" t="s">
        <v>45</v>
      </c>
      <c r="F35" s="7" t="s">
        <v>60</v>
      </c>
      <c r="G35" s="7"/>
      <c r="H35" s="7"/>
      <c r="I35" s="7"/>
      <c r="J35" s="7"/>
      <c r="K35" s="7">
        <v>15</v>
      </c>
      <c r="L35" s="16"/>
      <c r="M35" s="17">
        <f t="shared" si="0"/>
        <v>1500</v>
      </c>
      <c r="N35" s="18" t="str">
        <f t="shared" si="1"/>
        <v>这是关于“长剑”的描述。</v>
      </c>
    </row>
    <row r="36" ht="42" spans="1:14">
      <c r="A36" s="7"/>
      <c r="B36" s="10">
        <v>42201</v>
      </c>
      <c r="C36" s="11" t="str">
        <f>D36</f>
        <v>巨锤</v>
      </c>
      <c r="D36" s="11" t="s">
        <v>61</v>
      </c>
      <c r="E36" s="11" t="s">
        <v>45</v>
      </c>
      <c r="F36" s="7" t="s">
        <v>61</v>
      </c>
      <c r="G36" s="7"/>
      <c r="H36" s="7"/>
      <c r="I36" s="7"/>
      <c r="J36" s="7"/>
      <c r="K36" s="7">
        <v>10</v>
      </c>
      <c r="L36" s="16"/>
      <c r="M36" s="17">
        <f t="shared" si="0"/>
        <v>1000</v>
      </c>
      <c r="N36" s="18" t="str">
        <f t="shared" si="1"/>
        <v>这是关于“巨锤”的描述。</v>
      </c>
    </row>
    <row r="37" ht="42" spans="1:14">
      <c r="A37" s="7"/>
      <c r="B37" s="8">
        <v>42301</v>
      </c>
      <c r="C37" s="9" t="str">
        <f>D37</f>
        <v>长矛</v>
      </c>
      <c r="D37" s="9" t="s">
        <v>62</v>
      </c>
      <c r="E37" s="9" t="s">
        <v>45</v>
      </c>
      <c r="F37" s="7" t="s">
        <v>62</v>
      </c>
      <c r="G37" s="7"/>
      <c r="H37" s="7"/>
      <c r="I37" s="7"/>
      <c r="J37" s="7"/>
      <c r="K37" s="7">
        <v>5</v>
      </c>
      <c r="L37" s="16"/>
      <c r="M37" s="17">
        <f t="shared" si="0"/>
        <v>500</v>
      </c>
      <c r="N37" s="18" t="str">
        <f t="shared" si="1"/>
        <v>这是关于“长矛”的描述。</v>
      </c>
    </row>
    <row r="38" ht="42" spans="1:14">
      <c r="A38" s="7"/>
      <c r="B38" s="10">
        <v>42401</v>
      </c>
      <c r="C38" s="11" t="str">
        <f>D38</f>
        <v>刺剑</v>
      </c>
      <c r="D38" s="11" t="s">
        <v>63</v>
      </c>
      <c r="E38" s="11" t="s">
        <v>45</v>
      </c>
      <c r="F38" s="7" t="s">
        <v>63</v>
      </c>
      <c r="G38" s="7"/>
      <c r="H38" s="7"/>
      <c r="I38" s="7"/>
      <c r="J38" s="7"/>
      <c r="K38" s="7">
        <v>25</v>
      </c>
      <c r="L38" s="16"/>
      <c r="M38" s="17">
        <f t="shared" si="0"/>
        <v>2500</v>
      </c>
      <c r="N38" s="18" t="str">
        <f t="shared" si="1"/>
        <v>这是关于“刺剑”的描述。</v>
      </c>
    </row>
    <row r="39" ht="42" spans="1:14">
      <c r="A39" s="7"/>
      <c r="B39" s="8">
        <v>42501</v>
      </c>
      <c r="C39" s="9" t="str">
        <f>D39</f>
        <v>弯刀</v>
      </c>
      <c r="D39" s="9" t="s">
        <v>64</v>
      </c>
      <c r="E39" s="9" t="s">
        <v>45</v>
      </c>
      <c r="F39" s="7" t="s">
        <v>64</v>
      </c>
      <c r="G39" s="7"/>
      <c r="H39" s="7"/>
      <c r="I39" s="7"/>
      <c r="J39" s="7"/>
      <c r="K39" s="7">
        <v>25</v>
      </c>
      <c r="L39" s="16"/>
      <c r="M39" s="17">
        <f t="shared" si="0"/>
        <v>2500</v>
      </c>
      <c r="N39" s="18" t="str">
        <f t="shared" si="1"/>
        <v>这是关于“弯刀”的描述。</v>
      </c>
    </row>
    <row r="40" ht="42" spans="1:14">
      <c r="A40" s="12"/>
      <c r="B40" s="10">
        <v>42601</v>
      </c>
      <c r="C40" s="11" t="str">
        <f>D40</f>
        <v>短剑</v>
      </c>
      <c r="D40" s="11" t="s">
        <v>65</v>
      </c>
      <c r="E40" s="11" t="s">
        <v>45</v>
      </c>
      <c r="F40" s="7" t="s">
        <v>65</v>
      </c>
      <c r="G40" s="7"/>
      <c r="H40" s="7"/>
      <c r="I40" s="7"/>
      <c r="J40" s="7"/>
      <c r="K40" s="7">
        <v>10</v>
      </c>
      <c r="L40" s="19"/>
      <c r="M40" s="17">
        <f t="shared" si="0"/>
        <v>1000</v>
      </c>
      <c r="N40" s="18" t="str">
        <f t="shared" si="1"/>
        <v>这是关于“短剑”的描述。</v>
      </c>
    </row>
    <row r="41" ht="42" spans="1:14">
      <c r="A41" s="12"/>
      <c r="B41" s="8">
        <v>42701</v>
      </c>
      <c r="C41" s="9" t="str">
        <f>D41</f>
        <v>战锤</v>
      </c>
      <c r="D41" s="9" t="s">
        <v>66</v>
      </c>
      <c r="E41" s="9" t="s">
        <v>45</v>
      </c>
      <c r="F41" s="7" t="s">
        <v>66</v>
      </c>
      <c r="G41" s="7"/>
      <c r="H41" s="7"/>
      <c r="I41" s="7"/>
      <c r="J41" s="7"/>
      <c r="K41" s="7">
        <v>15</v>
      </c>
      <c r="L41" s="19"/>
      <c r="M41" s="17">
        <f t="shared" si="0"/>
        <v>1500</v>
      </c>
      <c r="N41" s="18" t="str">
        <f t="shared" si="1"/>
        <v>这是关于“战锤”的描述。</v>
      </c>
    </row>
    <row r="42" ht="42" spans="1:14">
      <c r="A42" s="12"/>
      <c r="B42" s="8">
        <v>42702</v>
      </c>
      <c r="C42" s="9" t="str">
        <f>D42</f>
        <v>辉黯</v>
      </c>
      <c r="D42" s="9" t="s">
        <v>67</v>
      </c>
      <c r="E42" s="9" t="s">
        <v>45</v>
      </c>
      <c r="F42" s="7" t="s">
        <v>66</v>
      </c>
      <c r="G42" s="7"/>
      <c r="H42" s="7"/>
      <c r="I42" s="7"/>
      <c r="J42" s="7"/>
      <c r="K42" s="7">
        <v>30</v>
      </c>
      <c r="L42" s="19"/>
      <c r="M42" s="17">
        <f t="shared" si="0"/>
        <v>3000</v>
      </c>
      <c r="N42" s="18" t="str">
        <f t="shared" si="1"/>
        <v>这是关于“辉黯”的描述。</v>
      </c>
    </row>
    <row r="43" ht="42" spans="1:14">
      <c r="A43" s="12"/>
      <c r="B43" s="10">
        <v>42801</v>
      </c>
      <c r="C43" s="11" t="str">
        <f>D43</f>
        <v>手弩</v>
      </c>
      <c r="D43" s="11" t="s">
        <v>68</v>
      </c>
      <c r="E43" s="11" t="s">
        <v>45</v>
      </c>
      <c r="F43" s="7" t="s">
        <v>68</v>
      </c>
      <c r="G43" s="7"/>
      <c r="H43" s="7"/>
      <c r="I43" s="7"/>
      <c r="J43" s="7"/>
      <c r="K43" s="7">
        <v>75</v>
      </c>
      <c r="L43" s="19"/>
      <c r="M43" s="17">
        <f t="shared" si="0"/>
        <v>7500</v>
      </c>
      <c r="N43" s="18" t="str">
        <f t="shared" si="1"/>
        <v>这是关于“手弩”的描述。</v>
      </c>
    </row>
    <row r="44" ht="42" spans="1:14">
      <c r="A44" s="12"/>
      <c r="B44" s="8">
        <v>42901</v>
      </c>
      <c r="C44" s="9" t="str">
        <f>D44</f>
        <v>重弩</v>
      </c>
      <c r="D44" s="9" t="s">
        <v>69</v>
      </c>
      <c r="E44" s="9" t="s">
        <v>45</v>
      </c>
      <c r="F44" s="7" t="s">
        <v>69</v>
      </c>
      <c r="G44" s="7"/>
      <c r="H44" s="7"/>
      <c r="I44" s="7"/>
      <c r="J44" s="7"/>
      <c r="K44" s="7">
        <v>50</v>
      </c>
      <c r="L44" s="19"/>
      <c r="M44" s="17">
        <f t="shared" si="0"/>
        <v>5000</v>
      </c>
      <c r="N44" s="18" t="str">
        <f t="shared" si="1"/>
        <v>这是关于“重弩”的描述。</v>
      </c>
    </row>
    <row r="45" ht="42" spans="1:14">
      <c r="A45" s="12"/>
      <c r="B45" s="10">
        <v>43001</v>
      </c>
      <c r="C45" s="11" t="str">
        <f>D45</f>
        <v>长弓</v>
      </c>
      <c r="D45" s="11" t="s">
        <v>70</v>
      </c>
      <c r="E45" s="11" t="s">
        <v>45</v>
      </c>
      <c r="F45" s="7" t="s">
        <v>70</v>
      </c>
      <c r="G45" s="7"/>
      <c r="H45" s="7"/>
      <c r="I45" s="7"/>
      <c r="J45" s="7"/>
      <c r="K45" s="7">
        <v>50</v>
      </c>
      <c r="L45" s="19"/>
      <c r="M45" s="17">
        <f t="shared" si="0"/>
        <v>5000</v>
      </c>
      <c r="N45" s="18" t="str">
        <f t="shared" si="1"/>
        <v>这是关于“长弓”的描述。</v>
      </c>
    </row>
  </sheetData>
  <mergeCells count="5">
    <mergeCell ref="B1:C1"/>
    <mergeCell ref="E1:G1"/>
    <mergeCell ref="B2:C2"/>
    <mergeCell ref="E2:G2"/>
    <mergeCell ref="H1:L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2026-01-17T06:02:24Z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695D11E31A934657ADF8ED564A8232C7_12</vt:lpwstr>
  </property>
  <property fmtid="{D5CDD505-2E9C-101B-9397-08002B2CF9AE}" pid="3" name="KSOProductBuildVer">
    <vt:lpwstr>2057-12.2.0.23196</vt:lpwstr>
  </property>
</Properties>
</file>