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/>
  </bookViews>
  <sheets>
    <sheet name="友方" sheetId="1" r:id="rId1"/>
    <sheet name="敌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<sst xmlns="http://schemas.openxmlformats.org/spreadsheetml/2006/main" count="277" uniqueCount="102">
  <si>
    <t>##var</t>
  </si>
  <si>
    <t>id</t>
  </si>
  <si>
    <t>name</t>
  </si>
  <si>
    <t>subrace</t>
  </si>
  <si>
    <t>asset</t>
  </si>
  <si>
    <t>level</t>
  </si>
  <si>
    <t>clasz</t>
  </si>
  <si>
    <t>expOnKilled</t>
  </si>
  <si>
    <t>max_hp</t>
  </si>
  <si>
    <t>attribute_preset</t>
  </si>
  <si>
    <t>item_preset1</t>
  </si>
  <si>
    <t>item_preset2</t>
  </si>
  <si>
    <t>#knapsack_items</t>
  </si>
  <si>
    <t>##type</t>
  </si>
  <si>
    <t>int</t>
  </si>
  <si>
    <t>string</t>
  </si>
  <si>
    <t>int#ref=Character.TbRace</t>
  </si>
  <si>
    <t>Character.Asset</t>
  </si>
  <si>
    <t>map,int#ref=Character.TbClasz,int</t>
  </si>
  <si>
    <t>Character.MaxHp</t>
  </si>
  <si>
    <t>Character.AttributePreset</t>
  </si>
  <si>
    <t>Character.ItemPreset</t>
  </si>
  <si>
    <t>map,(int#ref=Character.TbItem),float</t>
  </si>
  <si>
    <t>prefab</t>
  </si>
  <si>
    <t>squadPrefab</t>
  </si>
  <si>
    <t>icon</t>
  </si>
  <si>
    <t>$type</t>
  </si>
  <si>
    <t>abilityScores</t>
  </si>
  <si>
    <t>resistance</t>
  </si>
  <si>
    <t>armourClass</t>
  </si>
  <si>
    <t>movement</t>
  </si>
  <si>
    <t>initiative</t>
  </si>
  <si>
    <t>abilities</t>
  </si>
  <si>
    <t>Strength</t>
  </si>
  <si>
    <t>Dexterity</t>
  </si>
  <si>
    <t>Constitution</t>
  </si>
  <si>
    <t>Intelligent</t>
  </si>
  <si>
    <t>Wisdom</t>
  </si>
  <si>
    <t>Charisma</t>
  </si>
  <si>
    <t>MainHand</t>
  </si>
  <si>
    <t>OffHand</t>
  </si>
  <si>
    <t>Body</t>
  </si>
  <si>
    <t>Artifacts</t>
  </si>
  <si>
    <t>##</t>
  </si>
  <si>
    <t>唯一id</t>
  </si>
  <si>
    <t>#id别名</t>
  </si>
  <si>
    <t>名称</t>
  </si>
  <si>
    <t>亚种</t>
  </si>
  <si>
    <t>预制体</t>
  </si>
  <si>
    <t>小队预制体</t>
  </si>
  <si>
    <t>图标</t>
  </si>
  <si>
    <t>角色等级</t>
  </si>
  <si>
    <t>职业</t>
  </si>
  <si>
    <t>等级</t>
  </si>
  <si>
    <t>击杀经验</t>
  </si>
  <si>
    <t>生命值类型</t>
  </si>
  <si>
    <t>加成</t>
  </si>
  <si>
    <t>力量</t>
  </si>
  <si>
    <t>敏捷</t>
  </si>
  <si>
    <t>体质</t>
  </si>
  <si>
    <t>智力</t>
  </si>
  <si>
    <t>感知</t>
  </si>
  <si>
    <t>魅力</t>
  </si>
  <si>
    <t>伤害抗性</t>
  </si>
  <si>
    <t>护甲等级</t>
  </si>
  <si>
    <t>移动力</t>
  </si>
  <si>
    <t>先攻</t>
  </si>
  <si>
    <t>能力表</t>
  </si>
  <si>
    <t>主手装备</t>
  </si>
  <si>
    <t>副手装备</t>
  </si>
  <si>
    <t>身体装备</t>
  </si>
  <si>
    <t>奇物</t>
  </si>
  <si>
    <t>道具id</t>
  </si>
  <si>
    <t>出现概率</t>
  </si>
  <si>
    <t>人类平民</t>
  </si>
  <si>
    <t>ally</t>
  </si>
  <si>
    <t>temp_icon</t>
  </si>
  <si>
    <t>战士</t>
  </si>
  <si>
    <t>职业生命值</t>
  </si>
  <si>
    <t>无&amp;0</t>
  </si>
  <si>
    <t>商队护卫</t>
  </si>
  <si>
    <t>商队弩手</t>
  </si>
  <si>
    <t>商队领袖·矮人</t>
  </si>
  <si>
    <t>矮人勇士</t>
  </si>
  <si>
    <t>矮人碎铁近卫</t>
  </si>
  <si>
    <t>knapsack_items</t>
  </si>
  <si>
    <t>Character.ActorItemPreset</t>
  </si>
  <si>
    <t>#id别称</t>
  </si>
  <si>
    <t>地精盾刀手</t>
  </si>
  <si>
    <t>enemy</t>
  </si>
  <si>
    <t>骰子生命值</t>
  </si>
  <si>
    <t>2&amp;6</t>
  </si>
  <si>
    <t/>
  </si>
  <si>
    <t>地精长矛手</t>
  </si>
  <si>
    <t>地精弓箭手</t>
  </si>
  <si>
    <t>游侠</t>
  </si>
  <si>
    <t>地精双刀手</t>
  </si>
  <si>
    <t>游荡者</t>
  </si>
  <si>
    <t>地精军阀</t>
  </si>
  <si>
    <t>6&amp;6</t>
  </si>
  <si>
    <t>熊地精</t>
  </si>
  <si>
    <t>5&amp;8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</si>
</sst>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3F3F3F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B2B2B2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2" borderId="1" applyNumberFormat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1" xfId="17" applyNumberFormat="1" applyFont="1" applyFill="1" applyBorder="1" applyAlignment="1" applyProtection="1">
      <alignment horizontal="center" vertical="center"/>
    </xf>
    <xf numFmtId="0" fontId="2" fillId="2" borderId="2" xfId="8" applyNumberFormat="1" applyFont="1" applyFill="1" applyBorder="1" applyAlignment="1" applyProtection="1">
      <alignment horizontal="center" vertical="center"/>
    </xf>
    <xf numFmtId="0" fontId="2" fillId="2" borderId="3" xfId="8" applyNumberFormat="1" applyFont="1" applyFill="1" applyBorder="1" applyAlignment="1" applyProtection="1">
      <alignment horizontal="center" vertical="center"/>
    </xf>
    <xf numFmtId="0" fontId="2" fillId="2" borderId="1" xfId="8" applyNumberFormat="1" applyFont="1" applyFill="1" applyBorder="1" applyAlignment="1" applyProtection="1">
      <alignment horizontal="center" vertical="center"/>
    </xf>
    <xf numFmtId="0" fontId="2" fillId="2" borderId="4" xfId="8" applyNumberFormat="1" applyFont="1" applyFill="1" applyBorder="1" applyAlignment="1" applyProtection="1">
      <alignment horizontal="center" vertical="center"/>
    </xf>
    <xf numFmtId="0" fontId="1" fillId="2" borderId="5" xfId="17" applyNumberFormat="1" applyFont="1" applyFill="1" applyBorder="1" applyAlignment="1" applyProtection="1">
      <alignment horizontal="center" vertical="center"/>
    </xf>
    <xf numFmtId="0" fontId="1" fillId="2" borderId="6" xfId="17" applyNumberFormat="1" applyFont="1" applyFill="1" applyBorder="1" applyAlignment="1" applyProtection="1">
      <alignment horizontal="center" vertical="center"/>
    </xf>
    <xf numFmtId="0" fontId="2" fillId="2" borderId="2" xfId="8" applyNumberFormat="1" applyFont="1" applyFill="1" applyBorder="1" applyAlignment="1" applyProtection="1">
      <alignment vertical="center"/>
    </xf>
    <xf numFmtId="0" fontId="2" fillId="2" borderId="4" xfId="8" applyNumberFormat="1" applyFont="1" applyFill="1" applyBorder="1" applyAlignment="1" applyProtection="1">
      <alignment vertical="center"/>
    </xf>
    <xf numFmtId="0" fontId="2" fillId="2" borderId="3" xfId="8" applyNumberFormat="1" applyFont="1" applyFill="1" applyBorder="1" applyAlignment="1" applyProtection="1">
      <alignment vertical="center"/>
    </xf>
    <xf numFmtId="0" fontId="3" fillId="0" borderId="0" xfId="0" applyFont="1" applyFill="1" applyAlignment="1"/>
    <xf numFmtId="0" fontId="3" fillId="3" borderId="7" xfId="8" applyNumberFormat="1" applyFont="1" applyFill="1" applyBorder="1" applyAlignment="1" applyProtection="1"/>
    <xf numFmtId="0" fontId="3" fillId="4" borderId="8" xfId="16" applyNumberFormat="1" applyFont="1" applyFill="1" applyBorder="1" applyAlignment="1" applyProtection="1">
      <alignment horizontal="center"/>
    </xf>
    <xf numFmtId="0" fontId="3" fillId="4" borderId="8" xfId="16" applyNumberFormat="1" applyFont="1" applyFill="1" applyBorder="1" applyAlignment="1" applyProtection="1">
      <alignment horizontal="center" vertical="center"/>
    </xf>
    <xf numFmtId="0" fontId="3" fillId="4" borderId="9" xfId="16" applyNumberFormat="1" applyFont="1" applyFill="1" applyBorder="1" applyAlignment="1" applyProtection="1">
      <alignment horizontal="center"/>
    </xf>
    <xf numFmtId="0" fontId="3" fillId="4" borderId="8" xfId="16" applyNumberFormat="1" applyFont="1" applyFill="1" applyBorder="1" applyAlignment="1" applyProtection="1"/>
    <xf numFmtId="0" fontId="3" fillId="3" borderId="10" xfId="16" applyNumberFormat="1" applyFont="1" applyFill="1" applyBorder="1" applyAlignment="1" applyProtection="1"/>
    <xf numFmtId="0" fontId="3" fillId="3" borderId="11" xfId="16" applyNumberFormat="1" applyFont="1" applyFill="1" applyBorder="1" applyAlignment="1" applyProtection="1"/>
    <xf numFmtId="0" fontId="3" fillId="3" borderId="7" xfId="0" applyFont="1" applyFill="1" applyBorder="1" applyAlignment="1"/>
    <xf numFmtId="0" fontId="3" fillId="4" borderId="7" xfId="0" applyFont="1" applyFill="1" applyBorder="1" applyAlignment="1"/>
    <xf numFmtId="0" fontId="4" fillId="0" borderId="0" xfId="0" applyFont="1" applyFill="1" applyAlignment="1">
      <alignment vertical="center"/>
    </xf>
    <xf numFmtId="0" fontId="3" fillId="3" borderId="11" xfId="8" applyNumberFormat="1" applyFont="1" applyFill="1" applyBorder="1" applyAlignment="1" applyProtection="1"/>
    <xf numFmtId="0" fontId="3" fillId="4" borderId="12" xfId="16" applyNumberFormat="1" applyFont="1" applyFill="1" applyBorder="1" applyAlignment="1" applyProtection="1">
      <alignment horizontal="center" vertical="center"/>
    </xf>
    <xf numFmtId="0" fontId="3" fillId="4" borderId="12" xfId="16" applyNumberFormat="1" applyFont="1" applyFill="1" applyBorder="1" applyAlignment="1" applyProtection="1">
      <alignment horizontal="center"/>
    </xf>
    <xf numFmtId="0" fontId="3" fillId="4" borderId="13" xfId="16" applyNumberFormat="1" applyFont="1" applyFill="1" applyBorder="1" applyAlignment="1" applyProtection="1">
      <alignment horizontal="center"/>
    </xf>
    <xf numFmtId="0" fontId="3" fillId="4" borderId="12" xfId="16" applyNumberFormat="1" applyFont="1" applyFill="1" applyBorder="1" applyAlignment="1" applyProtection="1"/>
    <xf numFmtId="0" fontId="3" fillId="3" borderId="11" xfId="0" applyFont="1" applyFill="1" applyBorder="1" applyAlignment="1"/>
    <xf numFmtId="0" fontId="3" fillId="4" borderId="11" xfId="0" applyFont="1" applyFill="1" applyBorder="1" applyAlignment="1"/>
    <xf numFmtId="0" fontId="3" fillId="5" borderId="11" xfId="16" applyNumberFormat="1" applyFont="1" applyFill="1" applyBorder="1" applyAlignment="1" applyProtection="1"/>
    <xf numFmtId="0" fontId="0" fillId="0" borderId="0" xfId="0" applyAlignment="1">
      <alignment horizontal="center"/>
    </xf>
    <xf numFmtId="0" fontId="1" fillId="2" borderId="12" xfId="17" applyNumberFormat="1" applyFont="1" applyFill="1" applyBorder="1" applyAlignment="1" applyProtection="1">
      <alignment horizontal="center" vertical="center"/>
    </xf>
    <xf numFmtId="0" fontId="3" fillId="3" borderId="7" xfId="8" applyNumberFormat="1" applyFont="1" applyFill="1" applyBorder="1" applyAlignment="1" applyProtection="1">
      <alignment horizontal="center"/>
    </xf>
    <xf numFmtId="0" fontId="3" fillId="3" borderId="14" xfId="16" applyNumberFormat="1" applyFont="1" applyFill="1" applyBorder="1" applyAlignment="1" applyProtection="1"/>
    <xf numFmtId="0" fontId="3" fillId="3" borderId="7" xfId="16" applyNumberFormat="1" applyFont="1" applyFill="1" applyBorder="1" applyAlignment="1" applyProtection="1"/>
    <xf numFmtId="0" fontId="3" fillId="3" borderId="11" xfId="8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000000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1"/>
  <sheetViews>
    <sheetView tabSelected="1" workbookViewId="0">
      <selection activeCell="K23" sqref="K23"/>
    </sheetView>
  </sheetViews>
  <sheetFormatPr defaultColWidth="9" defaultRowHeight="14"/>
  <cols>
    <col min="3" max="3" width="17.7272727272727" customWidth="1"/>
    <col min="4" max="4" width="14.5454545454545" customWidth="1"/>
    <col min="5" max="5" width="26.6363636363636" style="30" customWidth="1"/>
    <col min="6" max="6" width="10.8181818181818" customWidth="1"/>
    <col min="7" max="7" width="13.1818181818182" customWidth="1"/>
    <col min="8" max="8" width="10.6363636363636" customWidth="1"/>
    <col min="15" max="15" width="11.8181818181818" customWidth="1"/>
  </cols>
  <sheetData>
    <row r="1" spans="1:48">
      <c r="A1" s="1" t="s">
        <v>0</v>
      </c>
      <c r="B1" s="2" t="s">
        <v>1</v>
      </c>
      <c r="C1" s="3"/>
      <c r="D1" s="4" t="s">
        <v>2</v>
      </c>
      <c r="E1" s="4" t="s">
        <v>3</v>
      </c>
      <c r="F1" s="2" t="s">
        <v>4</v>
      </c>
      <c r="G1" s="5"/>
      <c r="H1" s="3"/>
      <c r="I1" s="1" t="s">
        <v>5</v>
      </c>
      <c r="J1" s="1" t="s">
        <v>6</v>
      </c>
      <c r="K1" s="1"/>
      <c r="L1" s="1"/>
      <c r="M1" s="1"/>
      <c r="N1" s="1" t="s">
        <v>7</v>
      </c>
      <c r="O1" s="1" t="s">
        <v>8</v>
      </c>
      <c r="P1" s="6"/>
      <c r="Q1" s="31"/>
      <c r="R1" s="7" t="s">
        <v>9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10</v>
      </c>
      <c r="AF1" s="1"/>
      <c r="AG1" s="1"/>
      <c r="AH1" s="1"/>
      <c r="AI1" s="1"/>
      <c r="AJ1" s="1"/>
      <c r="AK1" s="1" t="s">
        <v>11</v>
      </c>
      <c r="AL1" s="1"/>
      <c r="AM1" s="1"/>
      <c r="AN1" s="1"/>
      <c r="AO1" s="1"/>
      <c r="AP1" s="1"/>
      <c r="AQ1" s="1" t="s">
        <v>12</v>
      </c>
      <c r="AR1" s="1"/>
      <c r="AS1" s="1"/>
      <c r="AT1" s="1"/>
      <c r="AU1" s="1"/>
      <c r="AV1" s="1"/>
    </row>
    <row r="2" spans="1:48">
      <c r="A2" s="1" t="s">
        <v>13</v>
      </c>
      <c r="B2" s="2" t="s">
        <v>14</v>
      </c>
      <c r="C2" s="3"/>
      <c r="D2" s="4" t="s">
        <v>15</v>
      </c>
      <c r="E2" s="4" t="s">
        <v>16</v>
      </c>
      <c r="F2" s="2" t="s">
        <v>17</v>
      </c>
      <c r="G2" s="5"/>
      <c r="H2" s="3"/>
      <c r="I2" s="1" t="s">
        <v>14</v>
      </c>
      <c r="J2" s="1" t="s">
        <v>18</v>
      </c>
      <c r="K2" s="1"/>
      <c r="L2" s="1"/>
      <c r="M2" s="1"/>
      <c r="N2" s="1" t="s">
        <v>14</v>
      </c>
      <c r="O2" s="1" t="s">
        <v>19</v>
      </c>
      <c r="P2" s="6"/>
      <c r="Q2" s="31"/>
      <c r="R2" s="7" t="s">
        <v>20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21</v>
      </c>
      <c r="AF2" s="1"/>
      <c r="AG2" s="1"/>
      <c r="AH2" s="1"/>
      <c r="AI2" s="1"/>
      <c r="AJ2" s="1"/>
      <c r="AK2" s="1" t="s">
        <v>21</v>
      </c>
      <c r="AL2" s="1"/>
      <c r="AM2" s="1"/>
      <c r="AN2" s="1"/>
      <c r="AO2" s="1"/>
      <c r="AP2" s="1"/>
      <c r="AQ2" s="1" t="s">
        <v>22</v>
      </c>
      <c r="AR2" s="1"/>
      <c r="AS2" s="1"/>
      <c r="AT2" s="1"/>
      <c r="AU2" s="1"/>
      <c r="AV2" s="1"/>
    </row>
    <row r="3" spans="1:48">
      <c r="A3" s="1" t="s">
        <v>13</v>
      </c>
      <c r="B3" s="4"/>
      <c r="C3" s="4"/>
      <c r="D3" s="4"/>
      <c r="E3" s="4"/>
      <c r="F3" s="8" t="s">
        <v>23</v>
      </c>
      <c r="G3" s="9" t="s">
        <v>24</v>
      </c>
      <c r="H3" s="10" t="s">
        <v>25</v>
      </c>
      <c r="I3" s="1"/>
      <c r="J3" s="1"/>
      <c r="K3" s="1"/>
      <c r="L3" s="1"/>
      <c r="M3" s="1"/>
      <c r="N3" s="1"/>
      <c r="O3" s="1" t="s">
        <v>26</v>
      </c>
      <c r="P3" s="6"/>
      <c r="Q3" s="31"/>
      <c r="R3" s="7" t="s">
        <v>27</v>
      </c>
      <c r="S3" s="1"/>
      <c r="T3" s="1"/>
      <c r="U3" s="1"/>
      <c r="V3" s="1"/>
      <c r="W3" s="1"/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>
      <c r="A4" s="1" t="s">
        <v>13</v>
      </c>
      <c r="B4" s="4"/>
      <c r="C4" s="4"/>
      <c r="D4" s="4"/>
      <c r="E4" s="4"/>
      <c r="F4" s="8"/>
      <c r="G4" s="9"/>
      <c r="H4" s="10"/>
      <c r="I4" s="1"/>
      <c r="J4" s="1"/>
      <c r="K4" s="1"/>
      <c r="L4" s="1"/>
      <c r="M4" s="1"/>
      <c r="N4" s="1"/>
      <c r="O4" s="1"/>
      <c r="P4" s="6"/>
      <c r="Q4" s="31"/>
      <c r="R4" s="7" t="s">
        <v>33</v>
      </c>
      <c r="S4" s="1" t="s">
        <v>34</v>
      </c>
      <c r="T4" s="1" t="s">
        <v>35</v>
      </c>
      <c r="U4" s="1" t="s">
        <v>36</v>
      </c>
      <c r="V4" s="1" t="s">
        <v>37</v>
      </c>
      <c r="W4" s="1" t="s">
        <v>38</v>
      </c>
      <c r="X4" s="1"/>
      <c r="Y4" s="1"/>
      <c r="Z4" s="1"/>
      <c r="AA4" s="1"/>
      <c r="AB4" s="1"/>
      <c r="AC4" s="1"/>
      <c r="AD4" s="1"/>
      <c r="AE4" s="1" t="s">
        <v>39</v>
      </c>
      <c r="AF4" s="1" t="s">
        <v>40</v>
      </c>
      <c r="AG4" s="1" t="s">
        <v>41</v>
      </c>
      <c r="AH4" s="1" t="s">
        <v>42</v>
      </c>
      <c r="AI4" s="1"/>
      <c r="AJ4" s="1"/>
      <c r="AK4" s="1" t="s">
        <v>39</v>
      </c>
      <c r="AL4" s="1" t="s">
        <v>40</v>
      </c>
      <c r="AM4" s="1" t="s">
        <v>41</v>
      </c>
      <c r="AN4" s="1" t="s">
        <v>42</v>
      </c>
      <c r="AO4" s="1"/>
      <c r="AP4" s="1"/>
      <c r="AQ4" s="1"/>
      <c r="AR4" s="1"/>
      <c r="AS4" s="1"/>
      <c r="AT4" s="1"/>
      <c r="AU4" s="1"/>
      <c r="AV4" s="1"/>
    </row>
    <row r="5" spans="1:48">
      <c r="A5" s="1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8" t="s">
        <v>48</v>
      </c>
      <c r="G5" s="9" t="s">
        <v>49</v>
      </c>
      <c r="H5" s="10" t="s">
        <v>50</v>
      </c>
      <c r="I5" s="1" t="s">
        <v>51</v>
      </c>
      <c r="J5" s="1" t="s">
        <v>52</v>
      </c>
      <c r="K5" s="1" t="s">
        <v>53</v>
      </c>
      <c r="L5" s="1" t="s">
        <v>52</v>
      </c>
      <c r="M5" s="1" t="s">
        <v>53</v>
      </c>
      <c r="N5" s="1" t="s">
        <v>54</v>
      </c>
      <c r="O5" s="1" t="s">
        <v>55</v>
      </c>
      <c r="P5" s="6" t="s">
        <v>56</v>
      </c>
      <c r="Q5" s="31"/>
      <c r="R5" s="7" t="s">
        <v>57</v>
      </c>
      <c r="S5" s="1" t="s">
        <v>58</v>
      </c>
      <c r="T5" s="1" t="s">
        <v>59</v>
      </c>
      <c r="U5" s="1" t="s">
        <v>60</v>
      </c>
      <c r="V5" s="1" t="s">
        <v>61</v>
      </c>
      <c r="W5" s="1" t="s">
        <v>62</v>
      </c>
      <c r="X5" s="1" t="s">
        <v>63</v>
      </c>
      <c r="Y5" s="1" t="s">
        <v>64</v>
      </c>
      <c r="Z5" s="1" t="s">
        <v>65</v>
      </c>
      <c r="AA5" s="1" t="s">
        <v>66</v>
      </c>
      <c r="AB5" s="1" t="s">
        <v>67</v>
      </c>
      <c r="AC5" s="1"/>
      <c r="AD5" s="1"/>
      <c r="AE5" s="1" t="s">
        <v>68</v>
      </c>
      <c r="AF5" s="1" t="s">
        <v>69</v>
      </c>
      <c r="AG5" s="1" t="s">
        <v>70</v>
      </c>
      <c r="AH5" s="1" t="s">
        <v>71</v>
      </c>
      <c r="AI5" s="1"/>
      <c r="AJ5" s="1"/>
      <c r="AK5" s="1" t="s">
        <v>68</v>
      </c>
      <c r="AL5" s="1" t="s">
        <v>69</v>
      </c>
      <c r="AM5" s="1" t="s">
        <v>70</v>
      </c>
      <c r="AN5" s="1" t="s">
        <v>71</v>
      </c>
      <c r="AO5" s="1"/>
      <c r="AP5" s="1"/>
      <c r="AQ5" s="1" t="s">
        <v>72</v>
      </c>
      <c r="AR5" s="1" t="s">
        <v>73</v>
      </c>
      <c r="AS5" s="1" t="s">
        <v>72</v>
      </c>
      <c r="AT5" s="1" t="s">
        <v>73</v>
      </c>
      <c r="AU5" s="1" t="s">
        <v>72</v>
      </c>
      <c r="AV5" s="1" t="s">
        <v>73</v>
      </c>
    </row>
    <row r="6" spans="1:48">
      <c r="A6" s="11"/>
      <c r="B6" s="12">
        <v>60001</v>
      </c>
      <c r="C6" s="12" t="str">
        <f t="shared" ref="C6:C11" si="0">"友_"&amp;D6</f>
        <v>友_人类平民</v>
      </c>
      <c r="D6" s="12" t="s">
        <v>74</v>
      </c>
      <c r="E6" s="32">
        <v>30001</v>
      </c>
      <c r="F6" s="12" t="s">
        <v>75</v>
      </c>
      <c r="G6" s="12" t="s">
        <v>75</v>
      </c>
      <c r="H6" s="12" t="s">
        <v>76</v>
      </c>
      <c r="I6" s="13">
        <v>1</v>
      </c>
      <c r="J6" s="13" t="s">
        <v>77</v>
      </c>
      <c r="K6" s="14">
        <v>1</v>
      </c>
      <c r="L6" s="14"/>
      <c r="M6" s="13"/>
      <c r="N6" s="13">
        <v>0</v>
      </c>
      <c r="O6" s="13" t="s">
        <v>78</v>
      </c>
      <c r="P6" s="15"/>
      <c r="Q6" s="13"/>
      <c r="R6" s="33">
        <v>10</v>
      </c>
      <c r="S6" s="34">
        <v>10</v>
      </c>
      <c r="T6" s="34">
        <v>10</v>
      </c>
      <c r="U6" s="34">
        <v>10</v>
      </c>
      <c r="V6" s="34">
        <v>10</v>
      </c>
      <c r="W6" s="34">
        <v>10</v>
      </c>
      <c r="X6" s="19" t="s">
        <v>79</v>
      </c>
      <c r="Y6" s="19">
        <v>10</v>
      </c>
      <c r="Z6" s="19">
        <v>6</v>
      </c>
      <c r="AA6" s="19">
        <v>0</v>
      </c>
      <c r="AB6" s="19"/>
      <c r="AC6" s="19"/>
      <c r="AD6" s="19"/>
      <c r="AE6" s="20">
        <v>40601</v>
      </c>
      <c r="AF6" s="20">
        <v>0</v>
      </c>
      <c r="AG6" s="20">
        <v>0</v>
      </c>
      <c r="AH6" s="20"/>
      <c r="AI6" s="20"/>
      <c r="AJ6" s="20"/>
      <c r="AK6" s="20">
        <v>0</v>
      </c>
      <c r="AL6" s="20">
        <v>0</v>
      </c>
      <c r="AM6" s="20">
        <v>0</v>
      </c>
      <c r="AN6" s="20"/>
      <c r="AO6" s="20"/>
      <c r="AP6" s="20"/>
      <c r="AQ6" s="21"/>
      <c r="AR6" s="21"/>
      <c r="AS6" s="21"/>
      <c r="AT6" s="21"/>
      <c r="AU6" s="21"/>
      <c r="AV6" s="21"/>
    </row>
    <row r="7" spans="1:48">
      <c r="A7" s="11"/>
      <c r="B7" s="12">
        <v>60002</v>
      </c>
      <c r="C7" s="12" t="str">
        <f t="shared" si="0"/>
        <v>友_商队护卫</v>
      </c>
      <c r="D7" s="22" t="s">
        <v>80</v>
      </c>
      <c r="E7" s="35">
        <v>30001</v>
      </c>
      <c r="F7" s="12" t="s">
        <v>75</v>
      </c>
      <c r="G7" s="12" t="s">
        <v>75</v>
      </c>
      <c r="H7" s="12" t="s">
        <v>76</v>
      </c>
      <c r="I7" s="24">
        <v>1</v>
      </c>
      <c r="J7" s="23" t="s">
        <v>77</v>
      </c>
      <c r="K7" s="24">
        <v>1</v>
      </c>
      <c r="L7" s="23"/>
      <c r="M7" s="24"/>
      <c r="N7" s="13">
        <v>0</v>
      </c>
      <c r="O7" s="24" t="s">
        <v>78</v>
      </c>
      <c r="P7" s="25"/>
      <c r="Q7" s="24"/>
      <c r="R7" s="17">
        <v>12</v>
      </c>
      <c r="S7" s="18">
        <v>10</v>
      </c>
      <c r="T7" s="18">
        <v>10</v>
      </c>
      <c r="U7" s="18">
        <v>10</v>
      </c>
      <c r="V7" s="18">
        <v>10</v>
      </c>
      <c r="W7" s="18">
        <v>10</v>
      </c>
      <c r="X7" s="19" t="s">
        <v>79</v>
      </c>
      <c r="Y7" s="27">
        <v>16</v>
      </c>
      <c r="Z7" s="27">
        <v>6</v>
      </c>
      <c r="AA7" s="27">
        <v>0</v>
      </c>
      <c r="AB7" s="27"/>
      <c r="AC7" s="27"/>
      <c r="AD7" s="27"/>
      <c r="AE7" s="28">
        <v>41301</v>
      </c>
      <c r="AF7" s="28">
        <v>40501</v>
      </c>
      <c r="AG7" s="28">
        <v>40303</v>
      </c>
      <c r="AH7" s="28"/>
      <c r="AI7" s="28"/>
      <c r="AJ7" s="28"/>
      <c r="AK7" s="28">
        <v>0</v>
      </c>
      <c r="AL7" s="28">
        <v>0</v>
      </c>
      <c r="AM7" s="28">
        <v>0</v>
      </c>
      <c r="AN7" s="28"/>
      <c r="AO7" s="28"/>
      <c r="AP7" s="28"/>
      <c r="AQ7" s="21"/>
      <c r="AR7" s="21"/>
      <c r="AS7" s="21"/>
      <c r="AT7" s="21"/>
      <c r="AU7" s="21"/>
      <c r="AV7" s="21"/>
    </row>
    <row r="8" spans="1:48">
      <c r="A8" s="11"/>
      <c r="B8" s="12">
        <v>60003</v>
      </c>
      <c r="C8" s="12" t="str">
        <f t="shared" si="0"/>
        <v>友_商队弩手</v>
      </c>
      <c r="D8" s="22" t="s">
        <v>81</v>
      </c>
      <c r="E8" s="35">
        <v>30001</v>
      </c>
      <c r="F8" s="12" t="s">
        <v>75</v>
      </c>
      <c r="G8" s="12" t="s">
        <v>75</v>
      </c>
      <c r="H8" s="12" t="s">
        <v>76</v>
      </c>
      <c r="I8" s="24">
        <v>1</v>
      </c>
      <c r="J8" s="23" t="s">
        <v>77</v>
      </c>
      <c r="K8" s="24">
        <v>1</v>
      </c>
      <c r="L8" s="23"/>
      <c r="M8" s="24"/>
      <c r="N8" s="13">
        <v>0</v>
      </c>
      <c r="O8" s="24" t="s">
        <v>78</v>
      </c>
      <c r="P8" s="25"/>
      <c r="Q8" s="24"/>
      <c r="R8" s="17">
        <v>10</v>
      </c>
      <c r="S8" s="18">
        <v>12</v>
      </c>
      <c r="T8" s="18">
        <v>10</v>
      </c>
      <c r="U8" s="18">
        <v>10</v>
      </c>
      <c r="V8" s="18">
        <v>10</v>
      </c>
      <c r="W8" s="18">
        <v>10</v>
      </c>
      <c r="X8" s="19" t="s">
        <v>79</v>
      </c>
      <c r="Y8" s="27">
        <v>13</v>
      </c>
      <c r="Z8" s="27">
        <v>6</v>
      </c>
      <c r="AA8" s="27">
        <v>0</v>
      </c>
      <c r="AB8" s="27"/>
      <c r="AC8" s="27"/>
      <c r="AD8" s="27"/>
      <c r="AE8" s="28">
        <v>42901</v>
      </c>
      <c r="AF8" s="28">
        <v>0</v>
      </c>
      <c r="AG8" s="28">
        <v>40301</v>
      </c>
      <c r="AH8" s="28"/>
      <c r="AI8" s="28"/>
      <c r="AJ8" s="28"/>
      <c r="AK8" s="28">
        <v>40701</v>
      </c>
      <c r="AL8" s="28">
        <v>0</v>
      </c>
      <c r="AM8" s="28">
        <v>0</v>
      </c>
      <c r="AN8" s="28"/>
      <c r="AO8" s="28"/>
      <c r="AP8" s="28"/>
      <c r="AQ8" s="21"/>
      <c r="AR8" s="21"/>
      <c r="AS8" s="21"/>
      <c r="AT8" s="21"/>
      <c r="AU8" s="21"/>
      <c r="AV8" s="21"/>
    </row>
    <row r="9" spans="1:48">
      <c r="A9" s="11"/>
      <c r="B9" s="12">
        <v>60004</v>
      </c>
      <c r="C9" s="12" t="str">
        <f t="shared" si="0"/>
        <v>友_商队领袖·矮人</v>
      </c>
      <c r="D9" s="22" t="s">
        <v>82</v>
      </c>
      <c r="E9" s="35">
        <v>30002</v>
      </c>
      <c r="F9" s="12" t="s">
        <v>75</v>
      </c>
      <c r="G9" s="12" t="s">
        <v>75</v>
      </c>
      <c r="H9" s="12" t="s">
        <v>76</v>
      </c>
      <c r="I9" s="24">
        <v>1</v>
      </c>
      <c r="J9" s="23" t="s">
        <v>77</v>
      </c>
      <c r="K9" s="24">
        <v>1</v>
      </c>
      <c r="L9" s="23"/>
      <c r="M9" s="24"/>
      <c r="N9" s="13">
        <v>0</v>
      </c>
      <c r="O9" s="24" t="s">
        <v>78</v>
      </c>
      <c r="P9" s="25"/>
      <c r="Q9" s="24"/>
      <c r="R9" s="17">
        <v>12</v>
      </c>
      <c r="S9" s="18">
        <v>8</v>
      </c>
      <c r="T9" s="18">
        <v>14</v>
      </c>
      <c r="U9" s="18">
        <v>10</v>
      </c>
      <c r="V9" s="18">
        <v>10</v>
      </c>
      <c r="W9" s="18">
        <v>12</v>
      </c>
      <c r="X9" s="19" t="s">
        <v>79</v>
      </c>
      <c r="Y9" s="27">
        <v>18</v>
      </c>
      <c r="Z9" s="27">
        <v>5</v>
      </c>
      <c r="AA9" s="27">
        <v>-1</v>
      </c>
      <c r="AB9" s="27"/>
      <c r="AC9" s="27"/>
      <c r="AD9" s="27"/>
      <c r="AE9" s="28">
        <v>42701</v>
      </c>
      <c r="AF9" s="28">
        <v>40501</v>
      </c>
      <c r="AG9" s="28">
        <v>40402</v>
      </c>
      <c r="AH9" s="28"/>
      <c r="AI9" s="28"/>
      <c r="AJ9" s="28"/>
      <c r="AK9" s="28">
        <v>0</v>
      </c>
      <c r="AL9" s="28">
        <v>0</v>
      </c>
      <c r="AM9" s="28">
        <v>0</v>
      </c>
      <c r="AN9" s="28"/>
      <c r="AO9" s="28"/>
      <c r="AP9" s="28"/>
      <c r="AQ9" s="21"/>
      <c r="AR9" s="21"/>
      <c r="AS9" s="21"/>
      <c r="AT9" s="21"/>
      <c r="AU9" s="21"/>
      <c r="AV9" s="21"/>
    </row>
    <row r="10" spans="1:48">
      <c r="A10" s="11"/>
      <c r="B10" s="12">
        <v>60005</v>
      </c>
      <c r="C10" s="12" t="str">
        <f t="shared" si="0"/>
        <v>友_矮人勇士</v>
      </c>
      <c r="D10" s="22" t="s">
        <v>83</v>
      </c>
      <c r="E10" s="35">
        <v>30003</v>
      </c>
      <c r="F10" s="12" t="s">
        <v>75</v>
      </c>
      <c r="G10" s="12" t="s">
        <v>75</v>
      </c>
      <c r="H10" s="12" t="s">
        <v>76</v>
      </c>
      <c r="I10" s="24">
        <v>1</v>
      </c>
      <c r="J10" s="23" t="s">
        <v>77</v>
      </c>
      <c r="K10" s="24">
        <v>1</v>
      </c>
      <c r="L10" s="23"/>
      <c r="M10" s="24"/>
      <c r="N10" s="13">
        <v>0</v>
      </c>
      <c r="O10" s="24" t="s">
        <v>78</v>
      </c>
      <c r="P10" s="25"/>
      <c r="Q10" s="24"/>
      <c r="R10" s="17">
        <v>14</v>
      </c>
      <c r="S10" s="18">
        <v>8</v>
      </c>
      <c r="T10" s="18">
        <v>16</v>
      </c>
      <c r="U10" s="18">
        <v>10</v>
      </c>
      <c r="V10" s="18">
        <v>8</v>
      </c>
      <c r="W10" s="18">
        <v>10</v>
      </c>
      <c r="X10" s="19" t="s">
        <v>79</v>
      </c>
      <c r="Y10" s="27">
        <v>18</v>
      </c>
      <c r="Z10" s="27">
        <v>5</v>
      </c>
      <c r="AA10" s="27">
        <v>-1</v>
      </c>
      <c r="AB10" s="27">
        <v>50501</v>
      </c>
      <c r="AC10" s="27"/>
      <c r="AD10" s="27"/>
      <c r="AE10" s="28">
        <v>41701</v>
      </c>
      <c r="AF10" s="28">
        <v>40501</v>
      </c>
      <c r="AG10" s="28">
        <v>40402</v>
      </c>
      <c r="AH10" s="28"/>
      <c r="AI10" s="28"/>
      <c r="AJ10" s="28"/>
      <c r="AK10" s="28">
        <v>0</v>
      </c>
      <c r="AL10" s="28">
        <v>0</v>
      </c>
      <c r="AM10" s="28">
        <v>0</v>
      </c>
      <c r="AN10" s="28"/>
      <c r="AO10" s="28"/>
      <c r="AP10" s="28"/>
      <c r="AQ10" s="21"/>
      <c r="AR10" s="21"/>
      <c r="AS10" s="21"/>
      <c r="AT10" s="21"/>
      <c r="AU10" s="21"/>
      <c r="AV10" s="21"/>
    </row>
    <row r="11" spans="1:48">
      <c r="A11" s="11"/>
      <c r="B11" s="12">
        <v>60006</v>
      </c>
      <c r="C11" s="12" t="str">
        <f t="shared" si="0"/>
        <v>友_矮人碎铁近卫</v>
      </c>
      <c r="D11" s="22" t="s">
        <v>84</v>
      </c>
      <c r="E11" s="35">
        <v>30003</v>
      </c>
      <c r="F11" s="12" t="s">
        <v>75</v>
      </c>
      <c r="G11" s="12" t="s">
        <v>75</v>
      </c>
      <c r="H11" s="12" t="s">
        <v>76</v>
      </c>
      <c r="I11" s="24">
        <v>5</v>
      </c>
      <c r="J11" s="23" t="s">
        <v>77</v>
      </c>
      <c r="K11" s="24">
        <v>5</v>
      </c>
      <c r="L11" s="23"/>
      <c r="M11" s="24"/>
      <c r="N11" s="13">
        <v>0</v>
      </c>
      <c r="O11" s="24" t="s">
        <v>78</v>
      </c>
      <c r="P11" s="25"/>
      <c r="Q11" s="24"/>
      <c r="R11" s="17">
        <v>16</v>
      </c>
      <c r="S11" s="18">
        <v>10</v>
      </c>
      <c r="T11" s="18">
        <v>18</v>
      </c>
      <c r="U11" s="18">
        <v>10</v>
      </c>
      <c r="V11" s="18">
        <v>8</v>
      </c>
      <c r="W11" s="18">
        <v>12</v>
      </c>
      <c r="X11" s="19" t="s">
        <v>79</v>
      </c>
      <c r="Y11" s="27">
        <v>20</v>
      </c>
      <c r="Z11" s="27">
        <v>5</v>
      </c>
      <c r="AA11" s="27">
        <v>0</v>
      </c>
      <c r="AB11" s="27">
        <v>50501</v>
      </c>
      <c r="AC11" s="27"/>
      <c r="AD11" s="27"/>
      <c r="AE11" s="28">
        <v>42701</v>
      </c>
      <c r="AF11" s="28">
        <v>40501</v>
      </c>
      <c r="AG11" s="28">
        <v>40404</v>
      </c>
      <c r="AH11" s="28"/>
      <c r="AI11" s="28"/>
      <c r="AJ11" s="28"/>
      <c r="AK11" s="28">
        <v>0</v>
      </c>
      <c r="AL11" s="28">
        <v>0</v>
      </c>
      <c r="AM11" s="28">
        <v>0</v>
      </c>
      <c r="AN11" s="28"/>
      <c r="AO11" s="28"/>
      <c r="AP11" s="28"/>
      <c r="AQ11" s="21"/>
      <c r="AR11" s="21"/>
      <c r="AS11" s="21"/>
      <c r="AT11" s="21"/>
      <c r="AU11" s="21"/>
      <c r="AV11" s="21"/>
    </row>
  </sheetData>
  <mergeCells count="27">
    <mergeCell ref="B1:C1"/>
    <mergeCell ref="F1:H1"/>
    <mergeCell ref="J1:M1"/>
    <mergeCell ref="O1:P1"/>
    <mergeCell ref="R1:AD1"/>
    <mergeCell ref="AE1:AJ1"/>
    <mergeCell ref="AK1:AP1"/>
    <mergeCell ref="AQ1:AV1"/>
    <mergeCell ref="B2:C2"/>
    <mergeCell ref="F2:H2"/>
    <mergeCell ref="J2:M2"/>
    <mergeCell ref="O2:P2"/>
    <mergeCell ref="R2:AD2"/>
    <mergeCell ref="AE2:AJ2"/>
    <mergeCell ref="AK2:AP2"/>
    <mergeCell ref="AQ2:AV2"/>
    <mergeCell ref="R3:W3"/>
    <mergeCell ref="AB3:AD3"/>
    <mergeCell ref="AE3:AJ3"/>
    <mergeCell ref="AK3:AP3"/>
    <mergeCell ref="AQ3:AV3"/>
    <mergeCell ref="AB4:AD4"/>
    <mergeCell ref="AH4:AJ4"/>
    <mergeCell ref="AN4:AP4"/>
    <mergeCell ref="AB5:AD5"/>
    <mergeCell ref="AH5:AJ5"/>
    <mergeCell ref="AN5:AP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1"/>
  <sheetViews>
    <sheetView workbookViewId="0">
      <selection activeCell="H6" sqref="H6"/>
    </sheetView>
  </sheetViews>
  <sheetFormatPr defaultColWidth="8.72727272727273" defaultRowHeight="14"/>
  <cols>
    <col min="3" max="3" width="15.1818181818182" customWidth="1"/>
    <col min="4" max="4" width="16.8181818181818" customWidth="1"/>
    <col min="5" max="5" width="10.0909090909091" customWidth="1"/>
    <col min="6" max="6" width="10.8181818181818" customWidth="1"/>
    <col min="7" max="7" width="13.1818181818182" customWidth="1"/>
    <col min="8" max="8" width="10.0909090909091" customWidth="1"/>
    <col min="14" max="14" width="13" customWidth="1"/>
    <col min="15" max="15" width="11.8181818181818" customWidth="1"/>
  </cols>
  <sheetData>
    <row r="1" spans="1:48">
      <c r="A1" s="1" t="s">
        <v>0</v>
      </c>
      <c r="B1" s="2" t="s">
        <v>1</v>
      </c>
      <c r="C1" s="3"/>
      <c r="D1" s="4" t="s">
        <v>2</v>
      </c>
      <c r="E1" s="4" t="s">
        <v>3</v>
      </c>
      <c r="F1" s="2" t="s">
        <v>4</v>
      </c>
      <c r="G1" s="5"/>
      <c r="H1" s="3"/>
      <c r="I1" s="1" t="s">
        <v>5</v>
      </c>
      <c r="J1" s="1" t="s">
        <v>6</v>
      </c>
      <c r="K1" s="1"/>
      <c r="L1" s="1"/>
      <c r="M1" s="1"/>
      <c r="N1" s="6" t="s">
        <v>7</v>
      </c>
      <c r="O1" s="1" t="s">
        <v>8</v>
      </c>
      <c r="P1" s="1"/>
      <c r="Q1" s="1"/>
      <c r="R1" s="7" t="s">
        <v>9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10</v>
      </c>
      <c r="AF1" s="1"/>
      <c r="AG1" s="1"/>
      <c r="AH1" s="1"/>
      <c r="AI1" s="1"/>
      <c r="AJ1" s="1"/>
      <c r="AK1" s="1" t="s">
        <v>11</v>
      </c>
      <c r="AL1" s="1"/>
      <c r="AM1" s="1"/>
      <c r="AN1" s="1"/>
      <c r="AO1" s="1"/>
      <c r="AP1" s="1"/>
      <c r="AQ1" s="1" t="s">
        <v>85</v>
      </c>
      <c r="AR1" s="1"/>
      <c r="AS1" s="1"/>
      <c r="AT1" s="1"/>
      <c r="AU1" s="1"/>
      <c r="AV1" s="1"/>
    </row>
    <row r="2" spans="1:48">
      <c r="A2" s="1" t="s">
        <v>13</v>
      </c>
      <c r="B2" s="2" t="s">
        <v>14</v>
      </c>
      <c r="C2" s="3"/>
      <c r="D2" s="4" t="s">
        <v>15</v>
      </c>
      <c r="E2" s="4" t="s">
        <v>16</v>
      </c>
      <c r="F2" s="2" t="s">
        <v>17</v>
      </c>
      <c r="G2" s="5"/>
      <c r="H2" s="3"/>
      <c r="I2" s="1" t="s">
        <v>14</v>
      </c>
      <c r="J2" s="1" t="s">
        <v>18</v>
      </c>
      <c r="K2" s="1"/>
      <c r="L2" s="1"/>
      <c r="M2" s="1"/>
      <c r="N2" s="6" t="s">
        <v>14</v>
      </c>
      <c r="O2" s="1" t="s">
        <v>19</v>
      </c>
      <c r="P2" s="1"/>
      <c r="Q2" s="1"/>
      <c r="R2" s="7" t="s">
        <v>20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86</v>
      </c>
      <c r="AF2" s="1"/>
      <c r="AG2" s="1"/>
      <c r="AH2" s="1"/>
      <c r="AI2" s="1"/>
      <c r="AJ2" s="1"/>
      <c r="AK2" s="1" t="s">
        <v>86</v>
      </c>
      <c r="AL2" s="1"/>
      <c r="AM2" s="1"/>
      <c r="AN2" s="1"/>
      <c r="AO2" s="1"/>
      <c r="AP2" s="1"/>
      <c r="AQ2" s="1" t="s">
        <v>22</v>
      </c>
      <c r="AR2" s="1"/>
      <c r="AS2" s="1"/>
      <c r="AT2" s="1"/>
      <c r="AU2" s="1"/>
      <c r="AV2" s="1"/>
    </row>
    <row r="3" spans="1:48">
      <c r="A3" s="1" t="s">
        <v>13</v>
      </c>
      <c r="B3" s="4"/>
      <c r="C3" s="4"/>
      <c r="D3" s="4"/>
      <c r="E3" s="4"/>
      <c r="F3" s="8" t="s">
        <v>23</v>
      </c>
      <c r="G3" s="9" t="s">
        <v>24</v>
      </c>
      <c r="H3" s="10" t="s">
        <v>25</v>
      </c>
      <c r="I3" s="1"/>
      <c r="J3" s="1"/>
      <c r="K3" s="1"/>
      <c r="L3" s="1"/>
      <c r="M3" s="1"/>
      <c r="N3" s="6"/>
      <c r="O3" s="1" t="s">
        <v>26</v>
      </c>
      <c r="P3" s="1"/>
      <c r="Q3" s="1"/>
      <c r="R3" s="7" t="s">
        <v>27</v>
      </c>
      <c r="S3" s="1"/>
      <c r="T3" s="1"/>
      <c r="U3" s="1"/>
      <c r="V3" s="1"/>
      <c r="W3" s="1"/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>
      <c r="A4" s="1" t="s">
        <v>13</v>
      </c>
      <c r="B4" s="4"/>
      <c r="C4" s="4"/>
      <c r="D4" s="4"/>
      <c r="E4" s="4"/>
      <c r="F4" s="8"/>
      <c r="G4" s="9"/>
      <c r="H4" s="10"/>
      <c r="I4" s="1"/>
      <c r="J4" s="1"/>
      <c r="K4" s="1"/>
      <c r="L4" s="1"/>
      <c r="M4" s="1"/>
      <c r="N4" s="6"/>
      <c r="O4" s="1"/>
      <c r="P4" s="1"/>
      <c r="Q4" s="1"/>
      <c r="R4" s="7" t="s">
        <v>33</v>
      </c>
      <c r="S4" s="1" t="s">
        <v>34</v>
      </c>
      <c r="T4" s="1" t="s">
        <v>35</v>
      </c>
      <c r="U4" s="1" t="s">
        <v>36</v>
      </c>
      <c r="V4" s="1" t="s">
        <v>37</v>
      </c>
      <c r="W4" s="1" t="s">
        <v>38</v>
      </c>
      <c r="X4" s="1"/>
      <c r="Y4" s="1"/>
      <c r="Z4" s="1"/>
      <c r="AA4" s="1"/>
      <c r="AB4" s="1"/>
      <c r="AC4" s="1"/>
      <c r="AD4" s="1"/>
      <c r="AE4" s="1" t="s">
        <v>39</v>
      </c>
      <c r="AF4" s="1" t="s">
        <v>40</v>
      </c>
      <c r="AG4" s="1" t="s">
        <v>41</v>
      </c>
      <c r="AH4" s="1" t="s">
        <v>42</v>
      </c>
      <c r="AI4" s="1"/>
      <c r="AJ4" s="1"/>
      <c r="AK4" s="1" t="s">
        <v>39</v>
      </c>
      <c r="AL4" s="1" t="s">
        <v>40</v>
      </c>
      <c r="AM4" s="1" t="s">
        <v>41</v>
      </c>
      <c r="AN4" s="1" t="s">
        <v>42</v>
      </c>
      <c r="AO4" s="1"/>
      <c r="AP4" s="1"/>
      <c r="AQ4" s="1"/>
      <c r="AR4" s="1"/>
      <c r="AS4" s="1"/>
      <c r="AT4" s="1"/>
      <c r="AU4" s="1"/>
      <c r="AV4" s="1"/>
    </row>
    <row r="5" spans="1:48">
      <c r="A5" s="1" t="s">
        <v>43</v>
      </c>
      <c r="B5" s="4" t="s">
        <v>44</v>
      </c>
      <c r="C5" s="4" t="s">
        <v>87</v>
      </c>
      <c r="D5" s="4" t="s">
        <v>46</v>
      </c>
      <c r="E5" s="4" t="s">
        <v>47</v>
      </c>
      <c r="F5" s="8" t="s">
        <v>48</v>
      </c>
      <c r="G5" s="9" t="s">
        <v>49</v>
      </c>
      <c r="H5" s="10" t="s">
        <v>50</v>
      </c>
      <c r="I5" s="1" t="s">
        <v>51</v>
      </c>
      <c r="J5" s="1" t="s">
        <v>52</v>
      </c>
      <c r="K5" s="1" t="s">
        <v>53</v>
      </c>
      <c r="L5" s="1" t="s">
        <v>52</v>
      </c>
      <c r="M5" s="1" t="s">
        <v>53</v>
      </c>
      <c r="N5" s="6" t="s">
        <v>54</v>
      </c>
      <c r="O5" s="1" t="s">
        <v>55</v>
      </c>
      <c r="P5" s="1" t="s">
        <v>56</v>
      </c>
      <c r="Q5" s="1"/>
      <c r="R5" s="7" t="s">
        <v>57</v>
      </c>
      <c r="S5" s="1" t="s">
        <v>58</v>
      </c>
      <c r="T5" s="1" t="s">
        <v>59</v>
      </c>
      <c r="U5" s="1" t="s">
        <v>60</v>
      </c>
      <c r="V5" s="1" t="s">
        <v>61</v>
      </c>
      <c r="W5" s="1" t="s">
        <v>62</v>
      </c>
      <c r="X5" s="1" t="s">
        <v>63</v>
      </c>
      <c r="Y5" s="1" t="s">
        <v>64</v>
      </c>
      <c r="Z5" s="1" t="s">
        <v>65</v>
      </c>
      <c r="AA5" s="1" t="s">
        <v>66</v>
      </c>
      <c r="AB5" s="1" t="s">
        <v>67</v>
      </c>
      <c r="AC5" s="1"/>
      <c r="AD5" s="1"/>
      <c r="AE5" s="1" t="s">
        <v>68</v>
      </c>
      <c r="AF5" s="1" t="s">
        <v>69</v>
      </c>
      <c r="AG5" s="1" t="s">
        <v>70</v>
      </c>
      <c r="AH5" s="1" t="s">
        <v>71</v>
      </c>
      <c r="AI5" s="1"/>
      <c r="AJ5" s="1"/>
      <c r="AK5" s="1" t="s">
        <v>68</v>
      </c>
      <c r="AL5" s="1" t="s">
        <v>69</v>
      </c>
      <c r="AM5" s="1" t="s">
        <v>70</v>
      </c>
      <c r="AN5" s="1" t="s">
        <v>71</v>
      </c>
      <c r="AO5" s="1"/>
      <c r="AP5" s="1"/>
      <c r="AQ5" s="1" t="s">
        <v>72</v>
      </c>
      <c r="AR5" s="1" t="s">
        <v>73</v>
      </c>
      <c r="AS5" s="1" t="s">
        <v>72</v>
      </c>
      <c r="AT5" s="1" t="s">
        <v>73</v>
      </c>
      <c r="AU5" s="1" t="s">
        <v>72</v>
      </c>
      <c r="AV5" s="1" t="s">
        <v>73</v>
      </c>
    </row>
    <row r="6" spans="1:48">
      <c r="A6" s="11"/>
      <c r="B6" s="12">
        <v>65001</v>
      </c>
      <c r="C6" s="12" t="str">
        <f t="shared" ref="C6:C11" si="0">"敌_"&amp;D6</f>
        <v>敌_地精盾刀手</v>
      </c>
      <c r="D6" s="12" t="s">
        <v>88</v>
      </c>
      <c r="E6" s="12">
        <v>31001</v>
      </c>
      <c r="F6" s="12" t="s">
        <v>89</v>
      </c>
      <c r="G6" s="12" t="s">
        <v>89</v>
      </c>
      <c r="H6" s="12" t="s">
        <v>76</v>
      </c>
      <c r="I6" s="13">
        <f t="shared" ref="I6:I11" si="1">K6+M6</f>
        <v>1</v>
      </c>
      <c r="J6" s="13" t="s">
        <v>77</v>
      </c>
      <c r="K6" s="14">
        <v>1</v>
      </c>
      <c r="L6" s="14"/>
      <c r="M6" s="13"/>
      <c r="N6" s="13">
        <v>50</v>
      </c>
      <c r="O6" s="13" t="s">
        <v>90</v>
      </c>
      <c r="P6" s="15" t="s">
        <v>91</v>
      </c>
      <c r="Q6" s="16">
        <v>0</v>
      </c>
      <c r="R6" s="17">
        <v>8</v>
      </c>
      <c r="S6" s="18">
        <v>14</v>
      </c>
      <c r="T6" s="18">
        <v>10</v>
      </c>
      <c r="U6" s="18">
        <v>10</v>
      </c>
      <c r="V6" s="18">
        <v>8</v>
      </c>
      <c r="W6" s="18">
        <v>8</v>
      </c>
      <c r="X6" s="19" t="s">
        <v>79</v>
      </c>
      <c r="Y6" s="19">
        <v>15</v>
      </c>
      <c r="Z6" s="19">
        <v>5</v>
      </c>
      <c r="AA6" s="19">
        <v>2</v>
      </c>
      <c r="AB6" s="19"/>
      <c r="AC6" s="19"/>
      <c r="AD6" s="19" t="s">
        <v>92</v>
      </c>
      <c r="AE6" s="20">
        <v>41201</v>
      </c>
      <c r="AF6" s="20">
        <v>40501</v>
      </c>
      <c r="AG6" s="20">
        <v>40201</v>
      </c>
      <c r="AH6" s="20"/>
      <c r="AI6" s="20"/>
      <c r="AJ6" s="20"/>
      <c r="AK6" s="20">
        <v>40701</v>
      </c>
      <c r="AL6" s="20">
        <v>40501</v>
      </c>
      <c r="AM6" s="20">
        <v>40201</v>
      </c>
      <c r="AN6" s="20"/>
      <c r="AO6" s="20"/>
      <c r="AP6" s="20"/>
      <c r="AQ6" s="21"/>
      <c r="AR6" s="21"/>
      <c r="AS6" s="21"/>
      <c r="AT6" s="21"/>
      <c r="AU6" s="21"/>
      <c r="AV6" s="21"/>
    </row>
    <row r="7" spans="1:48">
      <c r="A7" s="11"/>
      <c r="B7" s="12">
        <v>65002</v>
      </c>
      <c r="C7" s="12" t="str">
        <f t="shared" si="0"/>
        <v>敌_地精长矛手</v>
      </c>
      <c r="D7" s="22" t="s">
        <v>93</v>
      </c>
      <c r="E7" s="22">
        <v>31001</v>
      </c>
      <c r="F7" s="12" t="s">
        <v>89</v>
      </c>
      <c r="G7" s="12" t="s">
        <v>89</v>
      </c>
      <c r="H7" s="12" t="s">
        <v>76</v>
      </c>
      <c r="I7" s="13">
        <f t="shared" si="1"/>
        <v>1</v>
      </c>
      <c r="J7" s="23" t="s">
        <v>77</v>
      </c>
      <c r="K7" s="24">
        <v>1</v>
      </c>
      <c r="L7" s="23"/>
      <c r="M7" s="24"/>
      <c r="N7" s="24">
        <v>50</v>
      </c>
      <c r="O7" s="24" t="s">
        <v>90</v>
      </c>
      <c r="P7" s="25" t="s">
        <v>91</v>
      </c>
      <c r="Q7" s="26">
        <v>0</v>
      </c>
      <c r="R7" s="17">
        <v>8</v>
      </c>
      <c r="S7" s="18">
        <v>14</v>
      </c>
      <c r="T7" s="18">
        <v>10</v>
      </c>
      <c r="U7" s="18">
        <v>10</v>
      </c>
      <c r="V7" s="18">
        <v>8</v>
      </c>
      <c r="W7" s="18">
        <v>8</v>
      </c>
      <c r="X7" s="27" t="s">
        <v>79</v>
      </c>
      <c r="Y7" s="27">
        <v>13</v>
      </c>
      <c r="Z7" s="27">
        <v>5</v>
      </c>
      <c r="AA7" s="27">
        <v>2</v>
      </c>
      <c r="AB7" s="27"/>
      <c r="AC7" s="27"/>
      <c r="AD7" s="27"/>
      <c r="AE7" s="28">
        <v>41301</v>
      </c>
      <c r="AF7" s="28">
        <v>0</v>
      </c>
      <c r="AG7" s="28">
        <v>40201</v>
      </c>
      <c r="AH7" s="28"/>
      <c r="AI7" s="28"/>
      <c r="AJ7" s="28"/>
      <c r="AK7" s="28">
        <v>41101</v>
      </c>
      <c r="AL7" s="28">
        <v>0</v>
      </c>
      <c r="AM7" s="28">
        <v>40201</v>
      </c>
      <c r="AN7" s="28"/>
      <c r="AO7" s="28"/>
      <c r="AP7" s="28"/>
      <c r="AQ7" s="21"/>
      <c r="AR7" s="21"/>
      <c r="AS7" s="21"/>
      <c r="AT7" s="21"/>
      <c r="AU7" s="21"/>
      <c r="AV7" s="21"/>
    </row>
    <row r="8" spans="1:48">
      <c r="A8" s="11"/>
      <c r="B8" s="12">
        <v>65003</v>
      </c>
      <c r="C8" s="12" t="str">
        <f t="shared" si="0"/>
        <v>敌_地精弓箭手</v>
      </c>
      <c r="D8" s="22" t="s">
        <v>94</v>
      </c>
      <c r="E8" s="22">
        <v>31001</v>
      </c>
      <c r="F8" s="12" t="s">
        <v>89</v>
      </c>
      <c r="G8" s="12" t="s">
        <v>89</v>
      </c>
      <c r="H8" s="12" t="s">
        <v>76</v>
      </c>
      <c r="I8" s="13">
        <f t="shared" si="1"/>
        <v>1</v>
      </c>
      <c r="J8" s="23" t="s">
        <v>95</v>
      </c>
      <c r="K8" s="24">
        <v>1</v>
      </c>
      <c r="L8" s="23"/>
      <c r="M8" s="24"/>
      <c r="N8" s="24">
        <v>50</v>
      </c>
      <c r="O8" s="24" t="s">
        <v>90</v>
      </c>
      <c r="P8" s="25" t="s">
        <v>91</v>
      </c>
      <c r="Q8" s="16">
        <v>0</v>
      </c>
      <c r="R8" s="17">
        <v>8</v>
      </c>
      <c r="S8" s="18">
        <v>14</v>
      </c>
      <c r="T8" s="29">
        <v>10</v>
      </c>
      <c r="U8" s="18">
        <v>10</v>
      </c>
      <c r="V8" s="18">
        <v>8</v>
      </c>
      <c r="W8" s="18">
        <v>8</v>
      </c>
      <c r="X8" s="27" t="s">
        <v>79</v>
      </c>
      <c r="Y8" s="27">
        <v>12</v>
      </c>
      <c r="Z8" s="27">
        <v>5</v>
      </c>
      <c r="AA8" s="27">
        <v>2</v>
      </c>
      <c r="AB8" s="27"/>
      <c r="AC8" s="27"/>
      <c r="AD8" s="27"/>
      <c r="AE8" s="28">
        <v>41601</v>
      </c>
      <c r="AF8" s="28">
        <v>0</v>
      </c>
      <c r="AG8" s="28">
        <v>0</v>
      </c>
      <c r="AH8" s="28"/>
      <c r="AI8" s="28"/>
      <c r="AJ8" s="28"/>
      <c r="AK8" s="28">
        <v>41501</v>
      </c>
      <c r="AL8" s="28">
        <v>0</v>
      </c>
      <c r="AM8" s="28">
        <v>0</v>
      </c>
      <c r="AN8" s="28"/>
      <c r="AO8" s="28"/>
      <c r="AP8" s="28"/>
      <c r="AQ8" s="21"/>
      <c r="AR8" s="21"/>
      <c r="AS8" s="21"/>
      <c r="AT8" s="21"/>
      <c r="AU8" s="21"/>
      <c r="AV8" s="21"/>
    </row>
    <row r="9" spans="1:48">
      <c r="A9" s="11"/>
      <c r="B9" s="12">
        <v>65004</v>
      </c>
      <c r="C9" s="12" t="str">
        <f t="shared" si="0"/>
        <v>敌_地精双刀手</v>
      </c>
      <c r="D9" s="22" t="s">
        <v>96</v>
      </c>
      <c r="E9" s="22">
        <v>31001</v>
      </c>
      <c r="F9" s="12" t="s">
        <v>89</v>
      </c>
      <c r="G9" s="12" t="s">
        <v>89</v>
      </c>
      <c r="H9" s="12" t="s">
        <v>76</v>
      </c>
      <c r="I9" s="13">
        <f t="shared" si="1"/>
        <v>1</v>
      </c>
      <c r="J9" s="23" t="s">
        <v>97</v>
      </c>
      <c r="K9" s="24">
        <v>1</v>
      </c>
      <c r="L9" s="23"/>
      <c r="M9" s="24"/>
      <c r="N9" s="24">
        <v>50</v>
      </c>
      <c r="O9" s="24" t="s">
        <v>90</v>
      </c>
      <c r="P9" s="25" t="s">
        <v>91</v>
      </c>
      <c r="Q9" s="26">
        <v>0</v>
      </c>
      <c r="R9" s="17">
        <v>8</v>
      </c>
      <c r="S9" s="18">
        <v>14</v>
      </c>
      <c r="T9" s="18">
        <v>10</v>
      </c>
      <c r="U9" s="18">
        <v>10</v>
      </c>
      <c r="V9" s="18">
        <v>8</v>
      </c>
      <c r="W9" s="18">
        <v>8</v>
      </c>
      <c r="X9" s="27" t="s">
        <v>79</v>
      </c>
      <c r="Y9" s="27">
        <v>13</v>
      </c>
      <c r="Z9" s="27">
        <v>5</v>
      </c>
      <c r="AA9" s="27">
        <v>2</v>
      </c>
      <c r="AB9" s="27"/>
      <c r="AC9" s="27"/>
      <c r="AD9" s="27"/>
      <c r="AE9" s="28">
        <v>42501</v>
      </c>
      <c r="AF9" s="28">
        <v>40701</v>
      </c>
      <c r="AG9" s="28">
        <v>40201</v>
      </c>
      <c r="AH9" s="28"/>
      <c r="AI9" s="28"/>
      <c r="AJ9" s="28"/>
      <c r="AK9" s="28">
        <v>42501</v>
      </c>
      <c r="AL9" s="28">
        <v>41201</v>
      </c>
      <c r="AM9" s="28">
        <v>40201</v>
      </c>
      <c r="AN9" s="28"/>
      <c r="AO9" s="28"/>
      <c r="AP9" s="28"/>
      <c r="AQ9" s="21"/>
      <c r="AR9" s="21"/>
      <c r="AS9" s="21"/>
      <c r="AT9" s="21"/>
      <c r="AU9" s="21"/>
      <c r="AV9" s="21"/>
    </row>
    <row r="10" spans="1:48">
      <c r="A10" s="11"/>
      <c r="B10" s="12">
        <v>65005</v>
      </c>
      <c r="C10" s="12" t="str">
        <f t="shared" si="0"/>
        <v>敌_地精军阀</v>
      </c>
      <c r="D10" s="22" t="s">
        <v>98</v>
      </c>
      <c r="E10" s="22">
        <v>31001</v>
      </c>
      <c r="F10" s="12" t="s">
        <v>89</v>
      </c>
      <c r="G10" s="12" t="s">
        <v>89</v>
      </c>
      <c r="H10" s="12" t="s">
        <v>76</v>
      </c>
      <c r="I10" s="13">
        <f t="shared" si="1"/>
        <v>4</v>
      </c>
      <c r="J10" s="23" t="s">
        <v>77</v>
      </c>
      <c r="K10" s="24">
        <v>4</v>
      </c>
      <c r="L10" s="23"/>
      <c r="M10" s="24"/>
      <c r="N10" s="24">
        <v>200</v>
      </c>
      <c r="O10" s="24" t="s">
        <v>90</v>
      </c>
      <c r="P10" s="25" t="s">
        <v>99</v>
      </c>
      <c r="Q10" s="16">
        <v>0</v>
      </c>
      <c r="R10" s="17">
        <v>10</v>
      </c>
      <c r="S10" s="18">
        <v>14</v>
      </c>
      <c r="T10" s="18">
        <v>10</v>
      </c>
      <c r="U10" s="18">
        <v>10</v>
      </c>
      <c r="V10" s="18">
        <v>8</v>
      </c>
      <c r="W10" s="18">
        <v>10</v>
      </c>
      <c r="X10" s="27" t="s">
        <v>79</v>
      </c>
      <c r="Y10" s="27">
        <v>18</v>
      </c>
      <c r="Z10" s="27">
        <v>5</v>
      </c>
      <c r="AA10" s="27">
        <v>2</v>
      </c>
      <c r="AB10" s="27"/>
      <c r="AC10" s="27"/>
      <c r="AD10" s="27"/>
      <c r="AE10" s="28">
        <v>42501</v>
      </c>
      <c r="AF10" s="28">
        <v>40501</v>
      </c>
      <c r="AG10" s="28">
        <v>40402</v>
      </c>
      <c r="AH10" s="28"/>
      <c r="AI10" s="28"/>
      <c r="AJ10" s="28"/>
      <c r="AK10" s="28">
        <v>41701</v>
      </c>
      <c r="AL10" s="28">
        <v>40501</v>
      </c>
      <c r="AM10" s="28">
        <v>40402</v>
      </c>
      <c r="AN10" s="28"/>
      <c r="AO10" s="28"/>
      <c r="AP10" s="28"/>
      <c r="AQ10" s="21"/>
      <c r="AR10" s="21"/>
      <c r="AS10" s="21"/>
      <c r="AT10" s="21"/>
      <c r="AU10" s="21"/>
      <c r="AV10" s="21"/>
    </row>
    <row r="11" spans="1:48">
      <c r="A11" s="11"/>
      <c r="B11" s="12">
        <v>65006</v>
      </c>
      <c r="C11" s="12" t="str">
        <f t="shared" si="0"/>
        <v>敌_熊地精</v>
      </c>
      <c r="D11" s="22" t="s">
        <v>100</v>
      </c>
      <c r="E11" s="22">
        <v>31002</v>
      </c>
      <c r="F11" s="12" t="s">
        <v>89</v>
      </c>
      <c r="G11" s="12" t="s">
        <v>89</v>
      </c>
      <c r="H11" s="12" t="s">
        <v>76</v>
      </c>
      <c r="I11" s="13">
        <f t="shared" si="1"/>
        <v>3</v>
      </c>
      <c r="J11" s="23" t="s">
        <v>77</v>
      </c>
      <c r="K11" s="24">
        <v>3</v>
      </c>
      <c r="L11" s="23"/>
      <c r="M11" s="24"/>
      <c r="N11" s="24">
        <v>700</v>
      </c>
      <c r="O11" s="24" t="s">
        <v>90</v>
      </c>
      <c r="P11" s="25" t="s">
        <v>101</v>
      </c>
      <c r="Q11" s="26">
        <v>0</v>
      </c>
      <c r="R11" s="17">
        <v>17</v>
      </c>
      <c r="S11" s="18">
        <v>14</v>
      </c>
      <c r="T11" s="18">
        <v>14</v>
      </c>
      <c r="U11" s="18">
        <v>8</v>
      </c>
      <c r="V11" s="18">
        <v>12</v>
      </c>
      <c r="W11" s="18">
        <v>11</v>
      </c>
      <c r="X11" s="19" t="s">
        <v>79</v>
      </c>
      <c r="Y11" s="27">
        <v>14</v>
      </c>
      <c r="Z11" s="27">
        <v>6</v>
      </c>
      <c r="AA11" s="27">
        <v>2</v>
      </c>
      <c r="AB11" s="27">
        <v>50018</v>
      </c>
      <c r="AC11" s="27"/>
      <c r="AD11" s="27"/>
      <c r="AE11" s="28">
        <v>42201</v>
      </c>
      <c r="AF11" s="28">
        <v>0</v>
      </c>
      <c r="AG11" s="28">
        <v>40402</v>
      </c>
      <c r="AH11" s="28"/>
      <c r="AI11" s="28"/>
      <c r="AJ11" s="28"/>
      <c r="AK11" s="28">
        <v>42201</v>
      </c>
      <c r="AL11" s="28">
        <v>0</v>
      </c>
      <c r="AM11" s="28">
        <v>40401</v>
      </c>
      <c r="AN11" s="28"/>
      <c r="AO11" s="28"/>
      <c r="AP11" s="28"/>
      <c r="AQ11" s="21"/>
      <c r="AR11" s="21"/>
      <c r="AS11" s="21"/>
      <c r="AT11" s="21"/>
      <c r="AU11" s="21"/>
      <c r="AV11" s="21"/>
    </row>
  </sheetData>
  <mergeCells count="28">
    <mergeCell ref="B1:C1"/>
    <mergeCell ref="F1:H1"/>
    <mergeCell ref="J1:M1"/>
    <mergeCell ref="O1:Q1"/>
    <mergeCell ref="R1:AD1"/>
    <mergeCell ref="AE1:AJ1"/>
    <mergeCell ref="AK1:AP1"/>
    <mergeCell ref="AQ1:AV1"/>
    <mergeCell ref="B2:C2"/>
    <mergeCell ref="F2:H2"/>
    <mergeCell ref="J2:M2"/>
    <mergeCell ref="O2:Q2"/>
    <mergeCell ref="R2:AD2"/>
    <mergeCell ref="AE2:AJ2"/>
    <mergeCell ref="AK2:AP2"/>
    <mergeCell ref="AQ2:AV2"/>
    <mergeCell ref="R3:W3"/>
    <mergeCell ref="AB3:AD3"/>
    <mergeCell ref="AE3:AJ3"/>
    <mergeCell ref="AK3:AP3"/>
    <mergeCell ref="AQ3:AV3"/>
    <mergeCell ref="AB4:AD4"/>
    <mergeCell ref="AH4:AJ4"/>
    <mergeCell ref="AN4:AP4"/>
    <mergeCell ref="P5:Q5"/>
    <mergeCell ref="AB5:AD5"/>
    <mergeCell ref="AH5:AJ5"/>
    <mergeCell ref="AN5:AP5"/>
  </mergeCells>
  <conditionalFormatting sqref="R6:W11">
    <cfRule type="cellIs" dxfId="0" priority="1" operator="greaterThanOrEqual">
      <formula>10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友方</vt:lpstr>
      <vt:lpstr>敌方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2026-04-18T03:21:57Z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831EB8F2F9DB4C7C83281923BC39B031_12</vt:lpwstr>
  </property>
  <property fmtid="{D5CDD505-2E9C-101B-9397-08002B2CF9AE}" pid="3" name="KSOProductBuildVer">
    <vt:lpwstr>2052-12.1.0.25242</vt:lpwstr>
  </property>
  <property fmtid="{D5CDD505-2E9C-101B-9397-08002B2CF9AE}" pid="4" name="CalculationRule">
    <vt:i4>0</vt:i4>
  </property>
</Properties>
</file>