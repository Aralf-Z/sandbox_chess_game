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60" windowHeight="994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<sst xmlns="http://schemas.openxmlformats.org/spreadsheetml/2006/main" count="127" uniqueCount="83">
  <si>
    <t>##var</t>
  </si>
  <si>
    <t>id</t>
  </si>
  <si>
    <t>name</t>
  </si>
  <si>
    <t>subrace</t>
  </si>
  <si>
    <t>##亚种索引</t>
  </si>
  <si>
    <t>level</t>
  </si>
  <si>
    <t>clasz</t>
  </si>
  <si>
    <t>expOnKilled</t>
  </si>
  <si>
    <t>max_hp</t>
  </si>
  <si>
    <t>attribute_preset</t>
  </si>
  <si>
    <t>##能力表索引</t>
  </si>
  <si>
    <t>item_preset1</t>
  </si>
  <si>
    <t>item_preset2</t>
  </si>
  <si>
    <t>##道具预设id索引</t>
  </si>
  <si>
    <t>knapsack_items</t>
  </si>
  <si>
    <t>##type</t>
  </si>
  <si>
    <t>int</t>
  </si>
  <si>
    <t>string</t>
  </si>
  <si>
    <t>int#ref=Character.TbSubrace</t>
  </si>
  <si>
    <t>map,Character.EmClass,int</t>
  </si>
  <si>
    <t>Character.MaxHp</t>
  </si>
  <si>
    <t>Character.AttributePreset</t>
  </si>
  <si>
    <t>Character.ActorItemPreset</t>
  </si>
  <si>
    <t>map,(int#ref=Character.TbItem),float</t>
  </si>
  <si>
    <t>$type</t>
  </si>
  <si>
    <t>abilityScores</t>
  </si>
  <si>
    <t>resistance</t>
  </si>
  <si>
    <t>armourClass</t>
  </si>
  <si>
    <t>movement</t>
  </si>
  <si>
    <t>initiative</t>
  </si>
  <si>
    <t>abilities</t>
  </si>
  <si>
    <t>Strength</t>
  </si>
  <si>
    <t>Dexterity</t>
  </si>
  <si>
    <t>Constitution</t>
  </si>
  <si>
    <t>Intelligent</t>
  </si>
  <si>
    <t>Wisdom</t>
  </si>
  <si>
    <t>Charisma</t>
  </si>
  <si>
    <t>MainHand</t>
  </si>
  <si>
    <t>OffHand</t>
  </si>
  <si>
    <t>Body</t>
  </si>
  <si>
    <t>Artifacts</t>
  </si>
  <si>
    <t>##</t>
  </si>
  <si>
    <t>唯一id</t>
  </si>
  <si>
    <t>名称</t>
  </si>
  <si>
    <t>亚种</t>
  </si>
  <si>
    <t>角色等级</t>
  </si>
  <si>
    <t>职业</t>
  </si>
  <si>
    <t>等级</t>
  </si>
  <si>
    <t>击杀经验</t>
  </si>
  <si>
    <t>生命值类型</t>
  </si>
  <si>
    <t>加成</t>
  </si>
  <si>
    <t>力量</t>
  </si>
  <si>
    <t>敏捷</t>
  </si>
  <si>
    <t>体质</t>
  </si>
  <si>
    <t>智力</t>
  </si>
  <si>
    <t>感知</t>
  </si>
  <si>
    <t>魅力</t>
  </si>
  <si>
    <t>伤害抗性</t>
  </si>
  <si>
    <t>护甲等级</t>
  </si>
  <si>
    <t>移动力</t>
  </si>
  <si>
    <t>先攻</t>
  </si>
  <si>
    <t>能力表</t>
  </si>
  <si>
    <t>主手装备</t>
  </si>
  <si>
    <t>副手装备</t>
  </si>
  <si>
    <t>身体装备</t>
  </si>
  <si>
    <t>奇物</t>
  </si>
  <si>
    <t>道具id</t>
  </si>
  <si>
    <t>出现概率</t>
  </si>
  <si>
    <t>地精盾刀手</t>
  </si>
  <si>
    <t>战士</t>
  </si>
  <si>
    <t>骰子生命值</t>
  </si>
  <si>
    <t>2&amp;6</t>
  </si>
  <si>
    <t>无&amp;0</t>
  </si>
  <si>
    <t/>
  </si>
  <si>
    <t>地精长矛手</t>
  </si>
  <si>
    <t>地精弓箭手</t>
  </si>
  <si>
    <t>游侠</t>
  </si>
  <si>
    <t>地精双刀手</t>
  </si>
  <si>
    <t>游荡者</t>
  </si>
  <si>
    <t>地精军阀</t>
  </si>
  <si>
    <t>6&amp;6</t>
  </si>
  <si>
    <t>熊地精</t>
  </si>
  <si>
    <t>5&amp;8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</si>
</sst>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sz val="11"/>
      <color rgb="FF3F3F3F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11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2" borderId="1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1" xfId="17" applyNumberFormat="1" applyFont="1" applyFill="1" applyBorder="1" applyAlignment="1" applyProtection="1">
      <alignment horizontal="center" vertical="center"/>
    </xf>
    <xf numFmtId="0" fontId="2" fillId="2" borderId="1" xfId="8" applyNumberFormat="1" applyFont="1" applyFill="1" applyBorder="1" applyAlignment="1" applyProtection="1">
      <alignment horizontal="center" vertical="center"/>
    </xf>
    <xf numFmtId="0" fontId="3" fillId="0" borderId="0" xfId="0" applyFont="1" applyFill="1" applyAlignment="1"/>
    <xf numFmtId="0" fontId="3" fillId="3" borderId="2" xfId="8" applyNumberFormat="1" applyFont="1" applyFill="1" applyBorder="1" applyAlignment="1" applyProtection="1"/>
    <xf numFmtId="0" fontId="3" fillId="4" borderId="3" xfId="16" applyNumberFormat="1" applyFont="1" applyFill="1" applyBorder="1" applyAlignment="1" applyProtection="1">
      <alignment horizontal="center"/>
    </xf>
    <xf numFmtId="0" fontId="3" fillId="4" borderId="3" xfId="16" applyNumberFormat="1" applyFont="1" applyFill="1" applyBorder="1" applyAlignment="1" applyProtection="1">
      <alignment horizontal="center" vertical="center"/>
    </xf>
    <xf numFmtId="0" fontId="3" fillId="3" borderId="4" xfId="8" applyNumberFormat="1" applyFont="1" applyFill="1" applyBorder="1" applyAlignment="1" applyProtection="1"/>
    <xf numFmtId="0" fontId="3" fillId="4" borderId="5" xfId="16" applyNumberFormat="1" applyFont="1" applyFill="1" applyBorder="1" applyAlignment="1" applyProtection="1">
      <alignment horizontal="center" vertical="center"/>
    </xf>
    <xf numFmtId="0" fontId="3" fillId="4" borderId="5" xfId="16" applyNumberFormat="1" applyFont="1" applyFill="1" applyBorder="1" applyAlignment="1" applyProtection="1">
      <alignment horizontal="center"/>
    </xf>
    <xf numFmtId="0" fontId="1" fillId="2" borderId="6" xfId="17" applyNumberFormat="1" applyFont="1" applyFill="1" applyBorder="1" applyAlignment="1" applyProtection="1">
      <alignment horizontal="center" vertical="center"/>
    </xf>
    <xf numFmtId="0" fontId="1" fillId="2" borderId="7" xfId="17" applyNumberFormat="1" applyFont="1" applyFill="1" applyBorder="1" applyAlignment="1" applyProtection="1">
      <alignment horizontal="center" vertical="center"/>
    </xf>
    <xf numFmtId="0" fontId="3" fillId="4" borderId="8" xfId="16" applyNumberFormat="1" applyFont="1" applyFill="1" applyBorder="1" applyAlignment="1" applyProtection="1">
      <alignment horizontal="center"/>
    </xf>
    <xf numFmtId="0" fontId="3" fillId="4" borderId="3" xfId="16" applyNumberFormat="1" applyFont="1" applyFill="1" applyBorder="1" applyAlignment="1" applyProtection="1"/>
    <xf numFmtId="0" fontId="3" fillId="3" borderId="9" xfId="16" applyNumberFormat="1" applyFont="1" applyFill="1" applyBorder="1" applyAlignment="1" applyProtection="1"/>
    <xf numFmtId="0" fontId="3" fillId="3" borderId="4" xfId="16" applyNumberFormat="1" applyFont="1" applyFill="1" applyBorder="1" applyAlignment="1" applyProtection="1"/>
    <xf numFmtId="0" fontId="3" fillId="4" borderId="10" xfId="16" applyNumberFormat="1" applyFont="1" applyFill="1" applyBorder="1" applyAlignment="1" applyProtection="1">
      <alignment horizontal="center"/>
    </xf>
    <xf numFmtId="0" fontId="3" fillId="4" borderId="5" xfId="16" applyNumberFormat="1" applyFont="1" applyFill="1" applyBorder="1" applyAlignment="1" applyProtection="1"/>
    <xf numFmtId="0" fontId="3" fillId="3" borderId="2" xfId="0" applyFont="1" applyFill="1" applyBorder="1" applyAlignment="1"/>
    <xf numFmtId="0" fontId="3" fillId="3" borderId="4" xfId="0" applyFont="1" applyFill="1" applyBorder="1" applyAlignment="1"/>
    <xf numFmtId="0" fontId="3" fillId="5" borderId="4" xfId="16" applyNumberFormat="1" applyFont="1" applyFill="1" applyBorder="1" applyAlignment="1" applyProtection="1"/>
    <xf numFmtId="0" fontId="3" fillId="4" borderId="2" xfId="0" applyFont="1" applyFill="1" applyBorder="1" applyAlignment="1"/>
    <xf numFmtId="0" fontId="3" fillId="4" borderId="4" xfId="0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b val="1"/>
        <color rgb="FF000000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Projects\unity\sandbox_chess_game\config\TableConfig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bles"/>
      <sheetName val="beans"/>
      <sheetName val="enums"/>
      <sheetName val="游戏_单例"/>
      <sheetName val="角色_职业"/>
      <sheetName val="角色_种族_友方"/>
      <sheetName val="角色_冒险者"/>
      <sheetName val="角色_预设_友方"/>
      <sheetName val="角色_种族_敌方"/>
      <sheetName val="角色_预设_敌方"/>
      <sheetName val="角色_装备"/>
      <sheetName val="角色_奇物"/>
      <sheetName val="角色_基础武器"/>
      <sheetName val="角色_能力"/>
      <sheetName val="战斗_战役"/>
      <sheetName val="##游戏名词解释"/>
      <sheetName val="##角色_下拉菜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 t="str">
            <v>id</v>
          </cell>
          <cell r="C1" t="str">
            <v>name</v>
          </cell>
        </row>
        <row r="2">
          <cell r="B2" t="str">
            <v>int</v>
          </cell>
          <cell r="C2" t="str">
            <v>string</v>
          </cell>
        </row>
        <row r="5">
          <cell r="B5" t="str">
            <v>唯一id</v>
          </cell>
          <cell r="C5" t="str">
            <v>名称</v>
          </cell>
        </row>
        <row r="6">
          <cell r="B6">
            <v>31001</v>
          </cell>
          <cell r="C6" t="str">
            <v>地精</v>
          </cell>
        </row>
        <row r="7">
          <cell r="B7">
            <v>31002</v>
          </cell>
          <cell r="C7" t="str">
            <v>类地精</v>
          </cell>
        </row>
      </sheetData>
      <sheetData sheetId="9"/>
      <sheetData sheetId="10">
        <row r="1">
          <cell r="B1" t="str">
            <v>id</v>
          </cell>
          <cell r="C1" t="str">
            <v>name</v>
          </cell>
        </row>
        <row r="2">
          <cell r="B2" t="str">
            <v>int</v>
          </cell>
          <cell r="C2" t="str">
            <v>string</v>
          </cell>
        </row>
        <row r="5">
          <cell r="B5" t="str">
            <v>唯一id</v>
          </cell>
          <cell r="C5" t="str">
            <v>名称</v>
          </cell>
        </row>
        <row r="6">
          <cell r="B6">
            <v>40101</v>
          </cell>
          <cell r="C6" t="str">
            <v>布袍</v>
          </cell>
        </row>
        <row r="7">
          <cell r="B7">
            <v>40201</v>
          </cell>
          <cell r="C7" t="str">
            <v>布甲</v>
          </cell>
        </row>
        <row r="8">
          <cell r="B8">
            <v>40202</v>
          </cell>
          <cell r="C8" t="str">
            <v>皮甲</v>
          </cell>
        </row>
        <row r="9">
          <cell r="B9">
            <v>40203</v>
          </cell>
          <cell r="C9" t="str">
            <v>镶钉皮甲</v>
          </cell>
        </row>
        <row r="10">
          <cell r="B10">
            <v>40301</v>
          </cell>
          <cell r="C10" t="str">
            <v>兽皮甲</v>
          </cell>
        </row>
        <row r="11">
          <cell r="B11">
            <v>40302</v>
          </cell>
          <cell r="C11" t="str">
            <v>链甲衫</v>
          </cell>
        </row>
        <row r="12">
          <cell r="B12">
            <v>40303</v>
          </cell>
          <cell r="C12" t="str">
            <v>鳞甲</v>
          </cell>
        </row>
        <row r="13">
          <cell r="B13">
            <v>40304</v>
          </cell>
          <cell r="C13" t="str">
            <v>胸甲</v>
          </cell>
        </row>
        <row r="14">
          <cell r="B14">
            <v>40305</v>
          </cell>
          <cell r="C14" t="str">
            <v>半身板甲</v>
          </cell>
        </row>
        <row r="15">
          <cell r="B15">
            <v>40401</v>
          </cell>
          <cell r="C15" t="str">
            <v>环甲</v>
          </cell>
        </row>
        <row r="16">
          <cell r="B16">
            <v>40402</v>
          </cell>
          <cell r="C16" t="str">
            <v>链甲</v>
          </cell>
        </row>
        <row r="17">
          <cell r="B17">
            <v>40403</v>
          </cell>
          <cell r="C17" t="str">
            <v>板条甲</v>
          </cell>
        </row>
        <row r="18">
          <cell r="B18">
            <v>40404</v>
          </cell>
          <cell r="C18" t="str">
            <v>板甲</v>
          </cell>
        </row>
        <row r="19">
          <cell r="B19">
            <v>40501</v>
          </cell>
          <cell r="C19" t="str">
            <v>盾牌</v>
          </cell>
        </row>
        <row r="20">
          <cell r="B20">
            <v>40601</v>
          </cell>
          <cell r="C20" t="str">
            <v>短棒</v>
          </cell>
        </row>
        <row r="21">
          <cell r="B21">
            <v>40701</v>
          </cell>
          <cell r="C21" t="str">
            <v>匕首</v>
          </cell>
        </row>
        <row r="22">
          <cell r="B22">
            <v>40801</v>
          </cell>
          <cell r="C22" t="str">
            <v>巨棒</v>
          </cell>
        </row>
        <row r="23">
          <cell r="B23">
            <v>40901</v>
          </cell>
          <cell r="C23" t="str">
            <v>手斧</v>
          </cell>
        </row>
        <row r="24">
          <cell r="B24">
            <v>41001</v>
          </cell>
          <cell r="C24" t="str">
            <v>标枪</v>
          </cell>
        </row>
        <row r="25">
          <cell r="B25">
            <v>41101</v>
          </cell>
          <cell r="C25" t="str">
            <v>长棍</v>
          </cell>
        </row>
        <row r="26">
          <cell r="B26">
            <v>41201</v>
          </cell>
          <cell r="C26" t="str">
            <v>镰刀</v>
          </cell>
        </row>
        <row r="27">
          <cell r="B27">
            <v>41301</v>
          </cell>
          <cell r="C27" t="str">
            <v>矛</v>
          </cell>
        </row>
        <row r="28">
          <cell r="B28">
            <v>41401</v>
          </cell>
          <cell r="C28" t="str">
            <v>轻弩</v>
          </cell>
        </row>
        <row r="29">
          <cell r="B29">
            <v>41501</v>
          </cell>
          <cell r="C29" t="str">
            <v>飞镖</v>
          </cell>
        </row>
        <row r="30">
          <cell r="B30">
            <v>41601</v>
          </cell>
          <cell r="C30" t="str">
            <v>短弓</v>
          </cell>
        </row>
        <row r="31">
          <cell r="B31">
            <v>41701</v>
          </cell>
          <cell r="C31" t="str">
            <v>战斧</v>
          </cell>
        </row>
        <row r="32">
          <cell r="B32">
            <v>41801</v>
          </cell>
          <cell r="C32" t="str">
            <v>链枷</v>
          </cell>
        </row>
        <row r="33">
          <cell r="B33">
            <v>41901</v>
          </cell>
          <cell r="C33" t="str">
            <v>巨斧</v>
          </cell>
        </row>
        <row r="34">
          <cell r="B34">
            <v>42001</v>
          </cell>
          <cell r="C34" t="str">
            <v>巨剑</v>
          </cell>
        </row>
        <row r="35">
          <cell r="B35">
            <v>42101</v>
          </cell>
          <cell r="C35" t="str">
            <v>长剑</v>
          </cell>
        </row>
        <row r="36">
          <cell r="B36">
            <v>42201</v>
          </cell>
          <cell r="C36" t="str">
            <v>巨锤</v>
          </cell>
        </row>
        <row r="37">
          <cell r="B37">
            <v>42301</v>
          </cell>
          <cell r="C37" t="str">
            <v>长矛</v>
          </cell>
        </row>
        <row r="38">
          <cell r="B38">
            <v>42401</v>
          </cell>
          <cell r="C38" t="str">
            <v>刺剑</v>
          </cell>
        </row>
        <row r="39">
          <cell r="B39">
            <v>42501</v>
          </cell>
          <cell r="C39" t="str">
            <v>弯刀</v>
          </cell>
        </row>
        <row r="40">
          <cell r="B40">
            <v>42601</v>
          </cell>
          <cell r="C40" t="str">
            <v>短剑</v>
          </cell>
        </row>
        <row r="41">
          <cell r="B41">
            <v>42701</v>
          </cell>
          <cell r="C41" t="str">
            <v>战锤</v>
          </cell>
        </row>
        <row r="42">
          <cell r="B42">
            <v>42702</v>
          </cell>
          <cell r="C42" t="str">
            <v>辉黯</v>
          </cell>
        </row>
        <row r="43">
          <cell r="B43">
            <v>42801</v>
          </cell>
          <cell r="C43" t="str">
            <v>手弩</v>
          </cell>
        </row>
        <row r="44">
          <cell r="B44">
            <v>42901</v>
          </cell>
          <cell r="C44" t="str">
            <v>重弩</v>
          </cell>
        </row>
        <row r="45">
          <cell r="B45">
            <v>43001</v>
          </cell>
          <cell r="C45" t="str">
            <v>长弓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11"/>
  <sheetViews>
    <sheetView tabSelected="1" topLeftCell="AQ1" workbookViewId="0">
      <selection activeCell="BD10" sqref="BD10"/>
    </sheetView>
  </sheetViews>
  <sheetFormatPr defaultColWidth="9" defaultRowHeight="14.5"/>
  <sheetData>
    <row r="1" spans="1:6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/>
      <c r="I1" s="1"/>
      <c r="J1" s="1"/>
      <c r="K1" s="10" t="s">
        <v>7</v>
      </c>
      <c r="L1" s="1" t="s">
        <v>8</v>
      </c>
      <c r="M1" s="1"/>
      <c r="N1" s="1"/>
      <c r="O1" s="11" t="s">
        <v>9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 t="s">
        <v>10</v>
      </c>
      <c r="AC1" s="1"/>
      <c r="AD1" s="1"/>
      <c r="AE1" s="1" t="s">
        <v>11</v>
      </c>
      <c r="AF1" s="1"/>
      <c r="AG1" s="1"/>
      <c r="AH1" s="1"/>
      <c r="AI1" s="1"/>
      <c r="AJ1" s="1"/>
      <c r="AK1" s="1" t="s">
        <v>12</v>
      </c>
      <c r="AL1" s="1"/>
      <c r="AM1" s="1"/>
      <c r="AN1" s="1"/>
      <c r="AO1" s="1"/>
      <c r="AP1" s="1"/>
      <c r="AQ1" s="23" t="s">
        <v>13</v>
      </c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1" t="s">
        <v>14</v>
      </c>
      <c r="BD1" s="1"/>
      <c r="BE1" s="1"/>
      <c r="BF1" s="1"/>
      <c r="BG1" s="1"/>
      <c r="BH1" s="1"/>
    </row>
    <row r="2" spans="1:60">
      <c r="A2" s="1" t="s">
        <v>15</v>
      </c>
      <c r="B2" s="2" t="s">
        <v>16</v>
      </c>
      <c r="C2" s="2" t="s">
        <v>17</v>
      </c>
      <c r="D2" s="2" t="s">
        <v>18</v>
      </c>
      <c r="E2" s="2"/>
      <c r="F2" s="1" t="s">
        <v>16</v>
      </c>
      <c r="G2" s="1" t="s">
        <v>19</v>
      </c>
      <c r="H2" s="1"/>
      <c r="I2" s="1"/>
      <c r="J2" s="1"/>
      <c r="K2" s="10" t="s">
        <v>16</v>
      </c>
      <c r="L2" s="1" t="s">
        <v>20</v>
      </c>
      <c r="M2" s="1"/>
      <c r="N2" s="1"/>
      <c r="O2" s="11" t="s">
        <v>21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 t="s">
        <v>22</v>
      </c>
      <c r="AF2" s="1"/>
      <c r="AG2" s="1"/>
      <c r="AH2" s="1"/>
      <c r="AI2" s="1"/>
      <c r="AJ2" s="1"/>
      <c r="AK2" s="1" t="s">
        <v>22</v>
      </c>
      <c r="AL2" s="1"/>
      <c r="AM2" s="1"/>
      <c r="AN2" s="1"/>
      <c r="AO2" s="1"/>
      <c r="AP2" s="1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1" t="s">
        <v>23</v>
      </c>
      <c r="BD2" s="1"/>
      <c r="BE2" s="1"/>
      <c r="BF2" s="1"/>
      <c r="BG2" s="1"/>
      <c r="BH2" s="1"/>
    </row>
    <row r="3" spans="1:60">
      <c r="A3" s="1" t="s">
        <v>15</v>
      </c>
      <c r="B3" s="2"/>
      <c r="C3" s="2"/>
      <c r="D3" s="2"/>
      <c r="E3" s="2"/>
      <c r="F3" s="1"/>
      <c r="G3" s="1"/>
      <c r="H3" s="1"/>
      <c r="I3" s="1"/>
      <c r="J3" s="1"/>
      <c r="K3" s="10"/>
      <c r="L3" s="1" t="s">
        <v>24</v>
      </c>
      <c r="M3" s="1"/>
      <c r="N3" s="1"/>
      <c r="O3" s="11" t="s">
        <v>25</v>
      </c>
      <c r="P3" s="1"/>
      <c r="Q3" s="1"/>
      <c r="R3" s="1"/>
      <c r="S3" s="1"/>
      <c r="T3" s="1"/>
      <c r="U3" s="1" t="s">
        <v>26</v>
      </c>
      <c r="V3" s="1" t="s">
        <v>27</v>
      </c>
      <c r="W3" s="1" t="s">
        <v>28</v>
      </c>
      <c r="X3" s="1" t="s">
        <v>29</v>
      </c>
      <c r="Y3" s="1" t="s">
        <v>30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1"/>
      <c r="BD3" s="1"/>
      <c r="BE3" s="1"/>
      <c r="BF3" s="1"/>
      <c r="BG3" s="1"/>
      <c r="BH3" s="1"/>
    </row>
    <row r="4" spans="1:60">
      <c r="A4" s="1" t="s">
        <v>15</v>
      </c>
      <c r="B4" s="2"/>
      <c r="C4" s="2"/>
      <c r="D4" s="2"/>
      <c r="E4" s="2"/>
      <c r="F4" s="1"/>
      <c r="G4" s="1"/>
      <c r="H4" s="1"/>
      <c r="I4" s="1"/>
      <c r="J4" s="1"/>
      <c r="K4" s="10"/>
      <c r="L4" s="1"/>
      <c r="M4" s="1"/>
      <c r="N4" s="1"/>
      <c r="O4" s="11" t="s">
        <v>31</v>
      </c>
      <c r="P4" s="1" t="s">
        <v>32</v>
      </c>
      <c r="Q4" s="1" t="s">
        <v>33</v>
      </c>
      <c r="R4" s="1" t="s">
        <v>34</v>
      </c>
      <c r="S4" s="1" t="s">
        <v>35</v>
      </c>
      <c r="T4" s="1" t="s">
        <v>36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 t="s">
        <v>37</v>
      </c>
      <c r="AF4" s="1" t="s">
        <v>38</v>
      </c>
      <c r="AG4" s="1" t="s">
        <v>39</v>
      </c>
      <c r="AH4" s="1" t="s">
        <v>40</v>
      </c>
      <c r="AI4" s="1"/>
      <c r="AJ4" s="1"/>
      <c r="AK4" s="1" t="s">
        <v>37</v>
      </c>
      <c r="AL4" s="1" t="s">
        <v>38</v>
      </c>
      <c r="AM4" s="1" t="s">
        <v>39</v>
      </c>
      <c r="AN4" s="1" t="s">
        <v>40</v>
      </c>
      <c r="AO4" s="1"/>
      <c r="AP4" s="1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1"/>
      <c r="BD4" s="1"/>
      <c r="BE4" s="1"/>
      <c r="BF4" s="1"/>
      <c r="BG4" s="1"/>
      <c r="BH4" s="1"/>
    </row>
    <row r="5" spans="1:60">
      <c r="A5" s="1" t="s">
        <v>41</v>
      </c>
      <c r="B5" s="2" t="s">
        <v>42</v>
      </c>
      <c r="C5" s="2" t="s">
        <v>43</v>
      </c>
      <c r="D5" s="2" t="s">
        <v>44</v>
      </c>
      <c r="E5" s="2"/>
      <c r="F5" s="1" t="s">
        <v>45</v>
      </c>
      <c r="G5" s="1" t="s">
        <v>46</v>
      </c>
      <c r="H5" s="1" t="s">
        <v>47</v>
      </c>
      <c r="I5" s="1" t="s">
        <v>46</v>
      </c>
      <c r="J5" s="1" t="s">
        <v>47</v>
      </c>
      <c r="K5" s="10" t="s">
        <v>48</v>
      </c>
      <c r="L5" s="1" t="s">
        <v>49</v>
      </c>
      <c r="M5" s="1" t="s">
        <v>50</v>
      </c>
      <c r="N5" s="1"/>
      <c r="O5" s="11" t="s">
        <v>51</v>
      </c>
      <c r="P5" s="1" t="s">
        <v>52</v>
      </c>
      <c r="Q5" s="1" t="s">
        <v>53</v>
      </c>
      <c r="R5" s="1" t="s">
        <v>54</v>
      </c>
      <c r="S5" s="1" t="s">
        <v>55</v>
      </c>
      <c r="T5" s="1" t="s">
        <v>56</v>
      </c>
      <c r="U5" s="1" t="s">
        <v>57</v>
      </c>
      <c r="V5" s="1" t="s">
        <v>58</v>
      </c>
      <c r="W5" s="1" t="s">
        <v>59</v>
      </c>
      <c r="X5" s="1" t="s">
        <v>60</v>
      </c>
      <c r="Y5" s="1" t="s">
        <v>61</v>
      </c>
      <c r="Z5" s="1"/>
      <c r="AA5" s="1"/>
      <c r="AB5" s="1"/>
      <c r="AC5" s="1"/>
      <c r="AD5" s="1"/>
      <c r="AE5" s="1" t="s">
        <v>62</v>
      </c>
      <c r="AF5" s="1" t="s">
        <v>63</v>
      </c>
      <c r="AG5" s="1" t="s">
        <v>64</v>
      </c>
      <c r="AH5" s="1" t="s">
        <v>65</v>
      </c>
      <c r="AI5" s="1"/>
      <c r="AJ5" s="1"/>
      <c r="AK5" s="1" t="s">
        <v>62</v>
      </c>
      <c r="AL5" s="1" t="s">
        <v>63</v>
      </c>
      <c r="AM5" s="1" t="s">
        <v>64</v>
      </c>
      <c r="AN5" s="1" t="s">
        <v>65</v>
      </c>
      <c r="AO5" s="1"/>
      <c r="AP5" s="1"/>
      <c r="AQ5" s="23" t="s">
        <v>62</v>
      </c>
      <c r="AR5" s="23" t="s">
        <v>63</v>
      </c>
      <c r="AS5" s="23" t="s">
        <v>64</v>
      </c>
      <c r="AT5" s="23" t="s">
        <v>65</v>
      </c>
      <c r="AU5" s="23"/>
      <c r="AV5" s="23"/>
      <c r="AW5" s="23" t="s">
        <v>62</v>
      </c>
      <c r="AX5" s="23" t="s">
        <v>63</v>
      </c>
      <c r="AY5" s="23" t="s">
        <v>64</v>
      </c>
      <c r="AZ5" s="23" t="s">
        <v>65</v>
      </c>
      <c r="BA5" s="23"/>
      <c r="BB5" s="23"/>
      <c r="BC5" s="1" t="s">
        <v>66</v>
      </c>
      <c r="BD5" s="1" t="s">
        <v>67</v>
      </c>
      <c r="BE5" s="1" t="s">
        <v>66</v>
      </c>
      <c r="BF5" s="1" t="s">
        <v>67</v>
      </c>
      <c r="BG5" s="1" t="s">
        <v>66</v>
      </c>
      <c r="BH5" s="1" t="s">
        <v>67</v>
      </c>
    </row>
    <row r="6" spans="1:60">
      <c r="A6" s="3"/>
      <c r="B6" s="4">
        <v>65001</v>
      </c>
      <c r="C6" s="4" t="s">
        <v>68</v>
      </c>
      <c r="D6" s="4">
        <v>31001</v>
      </c>
      <c r="E6" s="4" t="str">
        <f>IF(D6="","",IFERROR(VLOOKUP(D6,[1]角色_种族_敌方!B:C,2,FALSE),"ERROR"))</f>
        <v>地精</v>
      </c>
      <c r="F6" s="5">
        <f t="shared" ref="F6:F11" si="0">H6+J6</f>
        <v>1</v>
      </c>
      <c r="G6" s="5" t="s">
        <v>69</v>
      </c>
      <c r="H6" s="6">
        <v>1</v>
      </c>
      <c r="I6" s="6"/>
      <c r="J6" s="5"/>
      <c r="K6" s="5">
        <v>50</v>
      </c>
      <c r="L6" s="5" t="s">
        <v>70</v>
      </c>
      <c r="M6" s="12" t="s">
        <v>71</v>
      </c>
      <c r="N6" s="13">
        <v>0</v>
      </c>
      <c r="O6" s="14">
        <v>8</v>
      </c>
      <c r="P6" s="15">
        <v>14</v>
      </c>
      <c r="Q6" s="15">
        <v>10</v>
      </c>
      <c r="R6" s="15">
        <v>10</v>
      </c>
      <c r="S6" s="15">
        <v>8</v>
      </c>
      <c r="T6" s="15">
        <v>8</v>
      </c>
      <c r="U6" s="18" t="s">
        <v>72</v>
      </c>
      <c r="V6" s="18">
        <v>15</v>
      </c>
      <c r="W6" s="18">
        <v>5</v>
      </c>
      <c r="X6" s="18">
        <v>2</v>
      </c>
      <c r="Y6" s="18"/>
      <c r="Z6" s="18"/>
      <c r="AA6" s="18" t="s">
        <v>73</v>
      </c>
      <c r="AB6" s="18" t="s">
        <v>73</v>
      </c>
      <c r="AC6" s="18"/>
      <c r="AD6" s="18"/>
      <c r="AE6" s="21">
        <v>41201</v>
      </c>
      <c r="AF6" s="21">
        <v>40501</v>
      </c>
      <c r="AG6" s="21">
        <v>40201</v>
      </c>
      <c r="AH6" s="21"/>
      <c r="AI6" s="21"/>
      <c r="AJ6" s="21"/>
      <c r="AK6" s="21">
        <v>40701</v>
      </c>
      <c r="AL6" s="21">
        <v>40501</v>
      </c>
      <c r="AM6" s="21">
        <v>40201</v>
      </c>
      <c r="AN6" s="21"/>
      <c r="AO6" s="21"/>
      <c r="AP6" s="21"/>
      <c r="AQ6" s="18" t="str">
        <f>IF(AE6=0,"无",IFERROR(VLOOKUP(AE6,[1]角色_装备!B:C,2,FALSE),"ERROR"))</f>
        <v>镰刀</v>
      </c>
      <c r="AR6" s="18" t="str">
        <f>IF(AF6=0,"无",IFERROR(VLOOKUP(AF6,[1]角色_装备!B:C,2,FALSE),"ERROR"))</f>
        <v>盾牌</v>
      </c>
      <c r="AS6" s="18" t="str">
        <f>IF(AG6=0,"无",IFERROR(VLOOKUP(AG6,[1]角色_装备!B:C,2,FALSE),"ERROR"))</f>
        <v>布甲</v>
      </c>
      <c r="AT6" s="18"/>
      <c r="AU6" s="18"/>
      <c r="AV6" s="18"/>
      <c r="AW6" s="18" t="str">
        <f>IF(AK6=0,"无",IFERROR(VLOOKUP(AK6,[1]角色_装备!B:C,2,FALSE),"ERROR"))</f>
        <v>匕首</v>
      </c>
      <c r="AX6" s="18" t="str">
        <f>IF(AL6=0,"无",IFERROR(VLOOKUP(AL6,[1]角色_装备!B:C,2,FALSE),"ERROR"))</f>
        <v>盾牌</v>
      </c>
      <c r="AY6" s="18" t="str">
        <f>IF(AM6=0,"无",IFERROR(VLOOKUP(AM6,[1]角色_装备!B:C,2,FALSE),"ERROR"))</f>
        <v>布甲</v>
      </c>
      <c r="AZ6" s="18"/>
      <c r="BA6" s="18"/>
      <c r="BB6" s="18"/>
      <c r="BC6" s="24"/>
      <c r="BD6" s="24"/>
      <c r="BE6" s="24"/>
      <c r="BF6" s="24"/>
      <c r="BG6" s="24"/>
      <c r="BH6" s="24"/>
    </row>
    <row r="7" spans="1:60">
      <c r="A7" s="3"/>
      <c r="B7" s="7">
        <v>65002</v>
      </c>
      <c r="C7" s="7" t="s">
        <v>74</v>
      </c>
      <c r="D7" s="7">
        <v>31001</v>
      </c>
      <c r="E7" s="4" t="str">
        <f>IF(D7="","",IFERROR(VLOOKUP(D7,[1]角色_种族_敌方!B:C,2,FALSE),"ERROR"))</f>
        <v>地精</v>
      </c>
      <c r="F7" s="5">
        <f t="shared" si="0"/>
        <v>1</v>
      </c>
      <c r="G7" s="8" t="s">
        <v>69</v>
      </c>
      <c r="H7" s="9">
        <v>1</v>
      </c>
      <c r="I7" s="8"/>
      <c r="J7" s="9"/>
      <c r="K7" s="9">
        <v>50</v>
      </c>
      <c r="L7" s="9" t="s">
        <v>70</v>
      </c>
      <c r="M7" s="16" t="s">
        <v>71</v>
      </c>
      <c r="N7" s="17">
        <v>0</v>
      </c>
      <c r="O7" s="14">
        <v>8</v>
      </c>
      <c r="P7" s="15">
        <v>14</v>
      </c>
      <c r="Q7" s="15">
        <v>10</v>
      </c>
      <c r="R7" s="15">
        <v>10</v>
      </c>
      <c r="S7" s="15">
        <v>8</v>
      </c>
      <c r="T7" s="15">
        <v>8</v>
      </c>
      <c r="U7" s="19" t="s">
        <v>72</v>
      </c>
      <c r="V7" s="19">
        <v>13</v>
      </c>
      <c r="W7" s="19">
        <v>5</v>
      </c>
      <c r="X7" s="19">
        <v>2</v>
      </c>
      <c r="Y7" s="19"/>
      <c r="Z7" s="19"/>
      <c r="AA7" s="19"/>
      <c r="AB7" s="18"/>
      <c r="AC7" s="18"/>
      <c r="AD7" s="19"/>
      <c r="AE7" s="22">
        <v>41301</v>
      </c>
      <c r="AF7" s="22">
        <v>0</v>
      </c>
      <c r="AG7" s="22">
        <v>40201</v>
      </c>
      <c r="AH7" s="22"/>
      <c r="AI7" s="22"/>
      <c r="AJ7" s="22"/>
      <c r="AK7" s="22">
        <v>41101</v>
      </c>
      <c r="AL7" s="22">
        <v>0</v>
      </c>
      <c r="AM7" s="22">
        <v>40201</v>
      </c>
      <c r="AN7" s="22"/>
      <c r="AO7" s="22"/>
      <c r="AP7" s="22"/>
      <c r="AQ7" s="18" t="str">
        <f>IF(AE7=0,"无",IFERROR(VLOOKUP(AE7,[1]角色_装备!B:C,2,FALSE),"ERROR"))</f>
        <v>矛</v>
      </c>
      <c r="AR7" s="18" t="str">
        <f>IF(AF7=0,"无",IFERROR(VLOOKUP(AF7,[1]角色_装备!B:C,2,FALSE),"ERROR"))</f>
        <v>无</v>
      </c>
      <c r="AS7" s="18" t="str">
        <f>IF(AG7=0,"无",IFERROR(VLOOKUP(AG7,[1]角色_装备!B:C,2,FALSE),"ERROR"))</f>
        <v>布甲</v>
      </c>
      <c r="AT7" s="19"/>
      <c r="AU7" s="19"/>
      <c r="AV7" s="19"/>
      <c r="AW7" s="18" t="str">
        <f>IF(AK7=0,"无",IFERROR(VLOOKUP(AK7,[1]角色_装备!B:C,2,FALSE),"ERROR"))</f>
        <v>长棍</v>
      </c>
      <c r="AX7" s="18" t="str">
        <f>IF(AL7=0,"无",IFERROR(VLOOKUP(AL7,[1]角色_装备!B:C,2,FALSE),"ERROR"))</f>
        <v>无</v>
      </c>
      <c r="AY7" s="18" t="str">
        <f>IF(AM7=0,"无",IFERROR(VLOOKUP(AM7,[1]角色_装备!B:C,2,FALSE),"ERROR"))</f>
        <v>布甲</v>
      </c>
      <c r="AZ7" s="19"/>
      <c r="BA7" s="19"/>
      <c r="BB7" s="19"/>
      <c r="BC7" s="24"/>
      <c r="BD7" s="24"/>
      <c r="BE7" s="24"/>
      <c r="BF7" s="24"/>
      <c r="BG7" s="24"/>
      <c r="BH7" s="24"/>
    </row>
    <row r="8" spans="1:60">
      <c r="A8" s="3"/>
      <c r="B8" s="7">
        <v>65003</v>
      </c>
      <c r="C8" s="7" t="s">
        <v>75</v>
      </c>
      <c r="D8" s="7">
        <v>31001</v>
      </c>
      <c r="E8" s="4" t="str">
        <f>IF(D8="","",IFERROR(VLOOKUP(D8,[1]角色_种族_敌方!B:C,2,FALSE),"ERROR"))</f>
        <v>地精</v>
      </c>
      <c r="F8" s="5">
        <f t="shared" si="0"/>
        <v>1</v>
      </c>
      <c r="G8" s="8" t="s">
        <v>76</v>
      </c>
      <c r="H8" s="9">
        <v>1</v>
      </c>
      <c r="I8" s="8"/>
      <c r="J8" s="9"/>
      <c r="K8" s="9">
        <v>50</v>
      </c>
      <c r="L8" s="9" t="s">
        <v>70</v>
      </c>
      <c r="M8" s="16" t="s">
        <v>71</v>
      </c>
      <c r="N8" s="13">
        <v>0</v>
      </c>
      <c r="O8" s="14">
        <v>8</v>
      </c>
      <c r="P8" s="15">
        <v>14</v>
      </c>
      <c r="Q8" s="20">
        <v>10</v>
      </c>
      <c r="R8" s="15">
        <v>10</v>
      </c>
      <c r="S8" s="15">
        <v>8</v>
      </c>
      <c r="T8" s="15">
        <v>8</v>
      </c>
      <c r="U8" s="19" t="s">
        <v>72</v>
      </c>
      <c r="V8" s="19">
        <v>12</v>
      </c>
      <c r="W8" s="19">
        <v>5</v>
      </c>
      <c r="X8" s="19">
        <v>2</v>
      </c>
      <c r="Y8" s="19"/>
      <c r="Z8" s="19"/>
      <c r="AA8" s="19"/>
      <c r="AB8" s="18"/>
      <c r="AC8" s="18"/>
      <c r="AD8" s="19"/>
      <c r="AE8" s="22">
        <v>41601</v>
      </c>
      <c r="AF8" s="22">
        <v>0</v>
      </c>
      <c r="AG8" s="22">
        <v>0</v>
      </c>
      <c r="AH8" s="22"/>
      <c r="AI8" s="22"/>
      <c r="AJ8" s="22"/>
      <c r="AK8" s="22">
        <v>41501</v>
      </c>
      <c r="AL8" s="22">
        <v>0</v>
      </c>
      <c r="AM8" s="22">
        <v>0</v>
      </c>
      <c r="AN8" s="22"/>
      <c r="AO8" s="22"/>
      <c r="AP8" s="22"/>
      <c r="AQ8" s="18" t="str">
        <f>IF(AE8=0,"无",IFERROR(VLOOKUP(AE8,[1]角色_装备!B:C,2,FALSE),"ERROR"))</f>
        <v>短弓</v>
      </c>
      <c r="AR8" s="18" t="str">
        <f>IF(AF8=0,"无",IFERROR(VLOOKUP(AF8,[1]角色_装备!B:C,2,FALSE),"ERROR"))</f>
        <v>无</v>
      </c>
      <c r="AS8" s="18" t="str">
        <f>IF(AG8=0,"无",IFERROR(VLOOKUP(AG8,[1]角色_装备!B:C,2,FALSE),"ERROR"))</f>
        <v>无</v>
      </c>
      <c r="AT8" s="19"/>
      <c r="AU8" s="19"/>
      <c r="AV8" s="19"/>
      <c r="AW8" s="18" t="str">
        <f>IF(AK8=0,"无",IFERROR(VLOOKUP(AK8,[1]角色_装备!B:C,2,FALSE),"ERROR"))</f>
        <v>飞镖</v>
      </c>
      <c r="AX8" s="18" t="str">
        <f>IF(AL8=0,"无",IFERROR(VLOOKUP(AL8,[1]角色_装备!B:C,2,FALSE),"ERROR"))</f>
        <v>无</v>
      </c>
      <c r="AY8" s="18" t="str">
        <f>IF(AM8=0,"无",IFERROR(VLOOKUP(AM8,[1]角色_装备!B:C,2,FALSE),"ERROR"))</f>
        <v>无</v>
      </c>
      <c r="AZ8" s="19"/>
      <c r="BA8" s="19"/>
      <c r="BB8" s="19"/>
      <c r="BC8" s="24"/>
      <c r="BD8" s="24"/>
      <c r="BE8" s="24"/>
      <c r="BF8" s="24"/>
      <c r="BG8" s="24"/>
      <c r="BH8" s="24"/>
    </row>
    <row r="9" spans="1:60">
      <c r="A9" s="3"/>
      <c r="B9" s="7">
        <v>65004</v>
      </c>
      <c r="C9" s="7" t="s">
        <v>77</v>
      </c>
      <c r="D9" s="7">
        <v>31001</v>
      </c>
      <c r="E9" s="4" t="str">
        <f>IF(D9="","",IFERROR(VLOOKUP(D9,[1]角色_种族_敌方!B:C,2,FALSE),"ERROR"))</f>
        <v>地精</v>
      </c>
      <c r="F9" s="5">
        <f t="shared" si="0"/>
        <v>1</v>
      </c>
      <c r="G9" s="8" t="s">
        <v>78</v>
      </c>
      <c r="H9" s="9">
        <v>1</v>
      </c>
      <c r="I9" s="8"/>
      <c r="J9" s="9"/>
      <c r="K9" s="9">
        <v>50</v>
      </c>
      <c r="L9" s="9" t="s">
        <v>70</v>
      </c>
      <c r="M9" s="16" t="s">
        <v>71</v>
      </c>
      <c r="N9" s="17">
        <v>0</v>
      </c>
      <c r="O9" s="14">
        <v>8</v>
      </c>
      <c r="P9" s="15">
        <v>14</v>
      </c>
      <c r="Q9" s="15">
        <v>10</v>
      </c>
      <c r="R9" s="15">
        <v>10</v>
      </c>
      <c r="S9" s="15">
        <v>8</v>
      </c>
      <c r="T9" s="15">
        <v>8</v>
      </c>
      <c r="U9" s="19" t="s">
        <v>72</v>
      </c>
      <c r="V9" s="19">
        <v>13</v>
      </c>
      <c r="W9" s="19">
        <v>5</v>
      </c>
      <c r="X9" s="19">
        <v>2</v>
      </c>
      <c r="Y9" s="19"/>
      <c r="Z9" s="19"/>
      <c r="AA9" s="19"/>
      <c r="AB9" s="18"/>
      <c r="AC9" s="18"/>
      <c r="AD9" s="19"/>
      <c r="AE9" s="22">
        <v>42501</v>
      </c>
      <c r="AF9" s="22">
        <v>40701</v>
      </c>
      <c r="AG9" s="22">
        <v>40201</v>
      </c>
      <c r="AH9" s="22"/>
      <c r="AI9" s="22"/>
      <c r="AJ9" s="22"/>
      <c r="AK9" s="22">
        <v>42501</v>
      </c>
      <c r="AL9" s="22">
        <v>41201</v>
      </c>
      <c r="AM9" s="22">
        <v>40201</v>
      </c>
      <c r="AN9" s="22"/>
      <c r="AO9" s="22"/>
      <c r="AP9" s="22"/>
      <c r="AQ9" s="18" t="str">
        <f>IF(AE9=0,"无",IFERROR(VLOOKUP(AE9,[1]角色_装备!B:C,2,FALSE),"ERROR"))</f>
        <v>弯刀</v>
      </c>
      <c r="AR9" s="18" t="str">
        <f>IF(AF9=0,"无",IFERROR(VLOOKUP(AF9,[1]角色_装备!B:C,2,FALSE),"ERROR"))</f>
        <v>匕首</v>
      </c>
      <c r="AS9" s="18" t="str">
        <f>IF(AG9=0,"无",IFERROR(VLOOKUP(AG9,[1]角色_装备!B:C,2,FALSE),"ERROR"))</f>
        <v>布甲</v>
      </c>
      <c r="AT9" s="19"/>
      <c r="AU9" s="19"/>
      <c r="AV9" s="19"/>
      <c r="AW9" s="18" t="str">
        <f>IF(AK9=0,"无",IFERROR(VLOOKUP(AK9,[1]角色_装备!B:C,2,FALSE),"ERROR"))</f>
        <v>弯刀</v>
      </c>
      <c r="AX9" s="18" t="str">
        <f>IF(AL9=0,"无",IFERROR(VLOOKUP(AL9,[1]角色_装备!B:C,2,FALSE),"ERROR"))</f>
        <v>镰刀</v>
      </c>
      <c r="AY9" s="18" t="str">
        <f>IF(AM9=0,"无",IFERROR(VLOOKUP(AM9,[1]角色_装备!B:C,2,FALSE),"ERROR"))</f>
        <v>布甲</v>
      </c>
      <c r="AZ9" s="19"/>
      <c r="BA9" s="19"/>
      <c r="BB9" s="19"/>
      <c r="BC9" s="24"/>
      <c r="BD9" s="24"/>
      <c r="BE9" s="24"/>
      <c r="BF9" s="24"/>
      <c r="BG9" s="24"/>
      <c r="BH9" s="24"/>
    </row>
    <row r="10" spans="1:60">
      <c r="A10" s="3"/>
      <c r="B10" s="7">
        <v>65005</v>
      </c>
      <c r="C10" s="7" t="s">
        <v>79</v>
      </c>
      <c r="D10" s="7">
        <v>31001</v>
      </c>
      <c r="E10" s="4" t="str">
        <f>IF(D10="","",IFERROR(VLOOKUP(D10,[1]角色_种族_敌方!B:C,2,FALSE),"ERROR"))</f>
        <v>地精</v>
      </c>
      <c r="F10" s="5">
        <f t="shared" si="0"/>
        <v>4</v>
      </c>
      <c r="G10" s="8" t="s">
        <v>69</v>
      </c>
      <c r="H10" s="9">
        <v>4</v>
      </c>
      <c r="I10" s="8"/>
      <c r="J10" s="9"/>
      <c r="K10" s="9">
        <v>200</v>
      </c>
      <c r="L10" s="9" t="s">
        <v>70</v>
      </c>
      <c r="M10" s="16" t="s">
        <v>80</v>
      </c>
      <c r="N10" s="13">
        <v>0</v>
      </c>
      <c r="O10" s="14">
        <v>10</v>
      </c>
      <c r="P10" s="15">
        <v>14</v>
      </c>
      <c r="Q10" s="15">
        <v>10</v>
      </c>
      <c r="R10" s="15">
        <v>10</v>
      </c>
      <c r="S10" s="15">
        <v>8</v>
      </c>
      <c r="T10" s="15">
        <v>10</v>
      </c>
      <c r="U10" s="19" t="s">
        <v>72</v>
      </c>
      <c r="V10" s="19">
        <v>18</v>
      </c>
      <c r="W10" s="19">
        <v>5</v>
      </c>
      <c r="X10" s="19">
        <v>2</v>
      </c>
      <c r="Y10" s="19"/>
      <c r="Z10" s="19"/>
      <c r="AA10" s="19"/>
      <c r="AB10" s="18"/>
      <c r="AC10" s="18"/>
      <c r="AD10" s="19"/>
      <c r="AE10" s="22">
        <v>42501</v>
      </c>
      <c r="AF10" s="22">
        <v>40501</v>
      </c>
      <c r="AG10" s="22">
        <v>40402</v>
      </c>
      <c r="AH10" s="22"/>
      <c r="AI10" s="22"/>
      <c r="AJ10" s="22"/>
      <c r="AK10" s="22">
        <v>41701</v>
      </c>
      <c r="AL10" s="22">
        <v>40501</v>
      </c>
      <c r="AM10" s="22">
        <v>40402</v>
      </c>
      <c r="AN10" s="22"/>
      <c r="AO10" s="22"/>
      <c r="AP10" s="22"/>
      <c r="AQ10" s="18" t="str">
        <f>IF(AE10=0,"无",IFERROR(VLOOKUP(AE10,[1]角色_装备!B:C,2,FALSE),"ERROR"))</f>
        <v>弯刀</v>
      </c>
      <c r="AR10" s="18" t="str">
        <f>IF(AF10=0,"无",IFERROR(VLOOKUP(AF10,[1]角色_装备!B:C,2,FALSE),"ERROR"))</f>
        <v>盾牌</v>
      </c>
      <c r="AS10" s="18" t="str">
        <f>IF(AG10=0,"无",IFERROR(VLOOKUP(AG10,[1]角色_装备!B:C,2,FALSE),"ERROR"))</f>
        <v>链甲</v>
      </c>
      <c r="AT10" s="19"/>
      <c r="AU10" s="19"/>
      <c r="AV10" s="19"/>
      <c r="AW10" s="18" t="str">
        <f>IF(AK10=0,"无",IFERROR(VLOOKUP(AK10,[1]角色_装备!B:C,2,FALSE),"ERROR"))</f>
        <v>战斧</v>
      </c>
      <c r="AX10" s="18" t="str">
        <f>IF(AL10=0,"无",IFERROR(VLOOKUP(AL10,[1]角色_装备!B:C,2,FALSE),"ERROR"))</f>
        <v>盾牌</v>
      </c>
      <c r="AY10" s="18" t="str">
        <f>IF(AM10=0,"无",IFERROR(VLOOKUP(AM10,[1]角色_装备!B:C,2,FALSE),"ERROR"))</f>
        <v>链甲</v>
      </c>
      <c r="AZ10" s="19"/>
      <c r="BA10" s="19"/>
      <c r="BB10" s="19"/>
      <c r="BC10" s="24"/>
      <c r="BD10" s="24"/>
      <c r="BE10" s="24"/>
      <c r="BF10" s="24"/>
      <c r="BG10" s="24"/>
      <c r="BH10" s="24"/>
    </row>
    <row r="11" spans="1:60">
      <c r="A11" s="3"/>
      <c r="B11" s="4">
        <v>65006</v>
      </c>
      <c r="C11" s="7" t="s">
        <v>81</v>
      </c>
      <c r="D11" s="7">
        <v>31002</v>
      </c>
      <c r="E11" s="4" t="str">
        <f>IF(D11="","",IFERROR(VLOOKUP(D11,[1]角色_种族_敌方!B:C,2,FALSE),"ERROR"))</f>
        <v>类地精</v>
      </c>
      <c r="F11" s="5">
        <f t="shared" si="0"/>
        <v>3</v>
      </c>
      <c r="G11" s="8" t="s">
        <v>69</v>
      </c>
      <c r="H11" s="9">
        <v>3</v>
      </c>
      <c r="I11" s="8"/>
      <c r="J11" s="9"/>
      <c r="K11" s="9">
        <v>700</v>
      </c>
      <c r="L11" s="9" t="s">
        <v>70</v>
      </c>
      <c r="M11" s="16" t="s">
        <v>82</v>
      </c>
      <c r="N11" s="17">
        <v>0</v>
      </c>
      <c r="O11" s="14">
        <v>17</v>
      </c>
      <c r="P11" s="15">
        <v>14</v>
      </c>
      <c r="Q11" s="15">
        <v>14</v>
      </c>
      <c r="R11" s="15">
        <v>8</v>
      </c>
      <c r="S11" s="15">
        <v>12</v>
      </c>
      <c r="T11" s="15">
        <v>11</v>
      </c>
      <c r="U11" s="18" t="s">
        <v>72</v>
      </c>
      <c r="V11" s="19">
        <v>14</v>
      </c>
      <c r="W11" s="19">
        <v>6</v>
      </c>
      <c r="X11" s="19">
        <v>2</v>
      </c>
      <c r="Y11" s="19">
        <v>50018</v>
      </c>
      <c r="Z11" s="19"/>
      <c r="AA11" s="19"/>
      <c r="AB11" s="18"/>
      <c r="AC11" s="18"/>
      <c r="AD11" s="19"/>
      <c r="AE11" s="22">
        <v>42201</v>
      </c>
      <c r="AF11" s="22">
        <v>0</v>
      </c>
      <c r="AG11" s="22">
        <v>40402</v>
      </c>
      <c r="AH11" s="22"/>
      <c r="AI11" s="22"/>
      <c r="AJ11" s="22"/>
      <c r="AK11" s="22">
        <v>42201</v>
      </c>
      <c r="AL11" s="22">
        <v>0</v>
      </c>
      <c r="AM11" s="22">
        <v>40401</v>
      </c>
      <c r="AN11" s="22"/>
      <c r="AO11" s="22"/>
      <c r="AP11" s="22"/>
      <c r="AQ11" s="18" t="str">
        <f>IF(AE11=0,"无",IFERROR(VLOOKUP(AE11,[1]角色_装备!B:C,2,FALSE),"ERROR"))</f>
        <v>巨锤</v>
      </c>
      <c r="AR11" s="18" t="str">
        <f>IF(AF11=0,"无",IFERROR(VLOOKUP(AF11,[1]角色_装备!B:C,2,FALSE),"ERROR"))</f>
        <v>无</v>
      </c>
      <c r="AS11" s="18" t="str">
        <f>IF(AG11=0,"无",IFERROR(VLOOKUP(AG11,[1]角色_装备!B:C,2,FALSE),"ERROR"))</f>
        <v>链甲</v>
      </c>
      <c r="AT11" s="19"/>
      <c r="AU11" s="19"/>
      <c r="AV11" s="19"/>
      <c r="AW11" s="18" t="str">
        <f>IF(AK11=0,"无",IFERROR(VLOOKUP(AK11,[1]角色_装备!B:C,2,FALSE),"ERROR"))</f>
        <v>巨锤</v>
      </c>
      <c r="AX11" s="18" t="str">
        <f>IF(AL11=0,"无",IFERROR(VLOOKUP(AL11,[1]角色_装备!B:C,2,FALSE),"ERROR"))</f>
        <v>无</v>
      </c>
      <c r="AY11" s="18" t="str">
        <f>IF(AM11=0,"无",IFERROR(VLOOKUP(AM11,[1]角色_装备!B:C,2,FALSE),"ERROR"))</f>
        <v>环甲</v>
      </c>
      <c r="AZ11" s="19"/>
      <c r="BA11" s="19"/>
      <c r="BB11" s="19"/>
      <c r="BC11" s="24"/>
      <c r="BD11" s="24"/>
      <c r="BE11" s="24"/>
      <c r="BF11" s="24"/>
      <c r="BG11" s="24"/>
      <c r="BH11" s="24"/>
    </row>
  </sheetData>
  <mergeCells count="29">
    <mergeCell ref="G1:J1"/>
    <mergeCell ref="L1:N1"/>
    <mergeCell ref="O1:AA1"/>
    <mergeCell ref="AE1:AJ1"/>
    <mergeCell ref="AK1:AP1"/>
    <mergeCell ref="BC1:BH1"/>
    <mergeCell ref="G2:J2"/>
    <mergeCell ref="L2:N2"/>
    <mergeCell ref="O2:AA2"/>
    <mergeCell ref="AE2:AJ2"/>
    <mergeCell ref="AK2:AP2"/>
    <mergeCell ref="BC2:BH2"/>
    <mergeCell ref="O3:T3"/>
    <mergeCell ref="Y3:AA3"/>
    <mergeCell ref="AE3:AJ3"/>
    <mergeCell ref="AK3:AP3"/>
    <mergeCell ref="BC3:BH3"/>
    <mergeCell ref="Y4:AA4"/>
    <mergeCell ref="AH4:AJ4"/>
    <mergeCell ref="AN4:AP4"/>
    <mergeCell ref="M5:N5"/>
    <mergeCell ref="Y5:AA5"/>
    <mergeCell ref="AH5:AJ5"/>
    <mergeCell ref="AN5:AP5"/>
    <mergeCell ref="AT5:AV5"/>
    <mergeCell ref="AZ5:BB5"/>
    <mergeCell ref="E1:E5"/>
    <mergeCell ref="AB1:AD5"/>
    <mergeCell ref="AQ1:BB4"/>
  </mergeCells>
  <conditionalFormatting sqref="O6:T11">
    <cfRule type="cellIs" dxfId="0" priority="1" operator="greaterThanOrEqual">
      <formula>10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Spike</cp:lastModifiedBy>
  <dcterms:created xsi:type="dcterms:W3CDTF">2025-07-21T09:59:00Z</dcterms:created>
  <dcterms:modified xsi:type="dcterms:W3CDTF">2025-12-07T11:25:58Z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738F4EE715554374BCE8EE64E7847349_12</vt:lpwstr>
  </property>
  <property fmtid="{D5CDD505-2E9C-101B-9397-08002B2CF9AE}" pid="3" name="KSOProductBuildVer">
    <vt:lpwstr>2057-12.2.0.23155</vt:lpwstr>
  </property>
</Properties>
</file>