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994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<sst xmlns="http://schemas.openxmlformats.org/spreadsheetml/2006/main" count="115" uniqueCount="71">
  <si>
    <t>##var</t>
  </si>
  <si>
    <t>id</t>
  </si>
  <si>
    <t>name</t>
  </si>
  <si>
    <t>race</t>
  </si>
  <si>
    <t>creature_type</t>
  </si>
  <si>
    <t>body_type</t>
  </si>
  <si>
    <t>proficiency</t>
  </si>
  <si>
    <t>attribute_preset</t>
  </si>
  <si>
    <t>##能力表索引</t>
  </si>
  <si>
    <t>##type</t>
  </si>
  <si>
    <t>int</t>
  </si>
  <si>
    <t>string</t>
  </si>
  <si>
    <t>Character.EmRace</t>
  </si>
  <si>
    <t>Character.EmCreatureType</t>
  </si>
  <si>
    <t>Character.EmBodyType</t>
  </si>
  <si>
    <t>Character.EmEquipType</t>
  </si>
  <si>
    <t>Character.AttributePreset</t>
  </si>
  <si>
    <t>abilityScores</t>
  </si>
  <si>
    <t>resistance</t>
  </si>
  <si>
    <t>armourClass</t>
  </si>
  <si>
    <t>movement</t>
  </si>
  <si>
    <t>initiative</t>
  </si>
  <si>
    <t>abilities</t>
  </si>
  <si>
    <t>Strength</t>
  </si>
  <si>
    <t>Dexterity</t>
  </si>
  <si>
    <t>Constitution</t>
  </si>
  <si>
    <t>Intelligent</t>
  </si>
  <si>
    <t>Wisdom</t>
  </si>
  <si>
    <t>Charisma</t>
  </si>
  <si>
    <t>##</t>
  </si>
  <si>
    <t>唯一id</t>
  </si>
  <si>
    <t>名称</t>
  </si>
  <si>
    <t>种族</t>
  </si>
  <si>
    <t>类别</t>
  </si>
  <si>
    <t>体型</t>
  </si>
  <si>
    <t>装备熟练</t>
  </si>
  <si>
    <t>力量</t>
  </si>
  <si>
    <t>敏捷</t>
  </si>
  <si>
    <t>体质</t>
  </si>
  <si>
    <t>智力</t>
  </si>
  <si>
    <t>感知</t>
  </si>
  <si>
    <t>魅力</t>
  </si>
  <si>
    <t>伤害抗性</t>
  </si>
  <si>
    <t>护甲等级</t>
  </si>
  <si>
    <t>移动力</t>
  </si>
  <si>
    <t>先攻</t>
  </si>
  <si>
    <t>能力表</t>
  </si>
  <si>
    <t>人类</t>
  </si>
  <si>
    <t>类人</t>
  </si>
  <si>
    <t>中型</t>
  </si>
  <si>
    <t>简易武器|轻甲|中甲</t>
  </si>
  <si>
    <t>无&amp;0</t>
  </si>
  <si>
    <t>丘陵矮人</t>
  </si>
  <si>
    <t>矮人</t>
  </si>
  <si>
    <t>简易武器|中甲|重甲|战斧|战锤</t>
  </si>
  <si>
    <t>毒素&amp;0.5</t>
  </si>
  <si>
    <t>高山矮人</t>
  </si>
  <si>
    <t>木精灵</t>
  </si>
  <si>
    <t>精灵</t>
  </si>
  <si>
    <t>简易武器|短弓|长弓</t>
  </si>
  <si>
    <t>高精灵</t>
  </si>
  <si>
    <t>简易武器</t>
  </si>
  <si>
    <t>半身人</t>
  </si>
  <si>
    <t>小型</t>
  </si>
  <si>
    <t>侏儒</t>
  </si>
  <si>
    <t>半精灵</t>
  </si>
  <si>
    <t>简易武器|长剑|长弓</t>
  </si>
  <si>
    <t>龙裔</t>
  </si>
  <si>
    <t>半兽人</t>
  </si>
  <si>
    <t>提夫林</t>
  </si>
  <si>
    <t>火焰&amp;0.5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</si>
</sst>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color rgb="FF3F3F3F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2" borderId="1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17" applyNumberFormat="1" applyFont="1" applyFill="1" applyBorder="1" applyAlignment="1" applyProtection="1">
      <alignment horizontal="left" vertical="center"/>
    </xf>
    <xf numFmtId="0" fontId="1" fillId="2" borderId="1" xfId="17" applyNumberFormat="1" applyFont="1" applyFill="1" applyBorder="1" applyAlignment="1" applyProtection="1">
      <alignment horizontal="center" vertical="center"/>
    </xf>
    <xf numFmtId="0" fontId="1" fillId="2" borderId="1" xfId="17" applyNumberFormat="1" applyFont="1" applyFill="1" applyBorder="1" applyAlignment="1" applyProtection="1">
      <alignment horizontal="center"/>
    </xf>
    <xf numFmtId="0" fontId="2" fillId="0" borderId="0" xfId="0" applyFont="1" applyFill="1" applyAlignment="1">
      <alignment horizontal="left" vertical="center"/>
    </xf>
    <xf numFmtId="0" fontId="2" fillId="3" borderId="2" xfId="8" applyNumberFormat="1" applyFont="1" applyFill="1" applyBorder="1" applyAlignment="1" applyProtection="1">
      <alignment horizontal="left" vertical="center"/>
    </xf>
    <xf numFmtId="0" fontId="2" fillId="0" borderId="2" xfId="8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horizontal="center"/>
    </xf>
    <xf numFmtId="0" fontId="2" fillId="3" borderId="3" xfId="8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3" fillId="0" borderId="0" xfId="0" applyFont="1" applyFill="1" applyAlignment="1">
      <alignment vertical="center"/>
    </xf>
    <xf numFmtId="0" fontId="2" fillId="4" borderId="2" xfId="8" applyNumberFormat="1" applyFont="1" applyFill="1" applyBorder="1" applyAlignment="1" applyProtection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color rgb="FFD73434"/>
      </font>
      <fill>
        <patternFill patternType="solid">
          <bgColor rgb="FFFEC8CE"/>
        </patternFill>
      </fill>
      <border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color rgb="FFFFFF00"/>
      </font>
      <fill>
        <patternFill patternType="solid">
          <bgColor rgb="FF808080"/>
        </patternFill>
      </fill>
      <border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color rgb="FF383838"/>
      </font>
      <fill>
        <patternFill patternType="solid">
          <bgColor rgb="FFFEC8CE"/>
        </patternFill>
      </fill>
      <border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rojects\unity\sandbox_chess_game\config\TableConfi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les"/>
      <sheetName val="beans"/>
      <sheetName val="enums"/>
      <sheetName val="游戏_单例"/>
      <sheetName val="角色_职业"/>
      <sheetName val="角色_种族_友方"/>
      <sheetName val="角色_冒险者"/>
      <sheetName val="角色_预设_友方"/>
      <sheetName val="角色_种族_敌方"/>
      <sheetName val="角色_预设_敌方"/>
      <sheetName val="角色_装备"/>
      <sheetName val="角色_奇物"/>
      <sheetName val="角色_基础武器"/>
      <sheetName val="角色_能力"/>
      <sheetName val="战斗_战役"/>
      <sheetName val="##游戏名词解释"/>
      <sheetName val="##角色_下拉菜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B1" t="str">
            <v>id</v>
          </cell>
          <cell r="C1" t="str">
            <v>name</v>
          </cell>
        </row>
        <row r="2">
          <cell r="B2" t="str">
            <v>int</v>
          </cell>
          <cell r="C2" t="str">
            <v>string</v>
          </cell>
        </row>
        <row r="4">
          <cell r="B4" t="str">
            <v>唯一id</v>
          </cell>
          <cell r="C4" t="str">
            <v>名称</v>
          </cell>
        </row>
        <row r="5">
          <cell r="B5">
            <v>50001</v>
          </cell>
          <cell r="C5" t="str">
            <v>攻击</v>
          </cell>
        </row>
        <row r="6">
          <cell r="B6">
            <v>50011</v>
          </cell>
          <cell r="C6" t="str">
            <v>矮人坚韧</v>
          </cell>
        </row>
        <row r="7">
          <cell r="B7">
            <v>50012</v>
          </cell>
          <cell r="C7" t="str">
            <v>凶蛮攻击</v>
          </cell>
        </row>
        <row r="8">
          <cell r="B8">
            <v>50013</v>
          </cell>
          <cell r="C8" t="str">
            <v>幸运</v>
          </cell>
        </row>
        <row r="9">
          <cell r="B9">
            <v>50014</v>
          </cell>
          <cell r="C9" t="str">
            <v>侏儒狡黠</v>
          </cell>
        </row>
        <row r="10">
          <cell r="B10">
            <v>50015</v>
          </cell>
          <cell r="C10" t="str">
            <v>吐息武器</v>
          </cell>
        </row>
        <row r="11">
          <cell r="B11">
            <v>50016</v>
          </cell>
          <cell r="C11" t="str">
            <v>炼狱叱喝</v>
          </cell>
        </row>
        <row r="12">
          <cell r="B12">
            <v>50017</v>
          </cell>
          <cell r="C12" t="str">
            <v>坚韧不屈</v>
          </cell>
        </row>
        <row r="13">
          <cell r="B13">
            <v>50701</v>
          </cell>
          <cell r="C13" t="str">
            <v>至圣斩</v>
          </cell>
        </row>
        <row r="14">
          <cell r="B14">
            <v>50702</v>
          </cell>
          <cell r="C14" t="str">
            <v>圣疗术</v>
          </cell>
        </row>
        <row r="15">
          <cell r="B15">
            <v>51201</v>
          </cell>
          <cell r="C15" t="str">
            <v>冷冻射线</v>
          </cell>
        </row>
        <row r="16">
          <cell r="B16">
            <v>51202</v>
          </cell>
          <cell r="C16" t="str">
            <v>火焰箭</v>
          </cell>
        </row>
        <row r="17">
          <cell r="B17">
            <v>50018</v>
          </cell>
          <cell r="C17" t="str">
            <v>突袭打击</v>
          </cell>
        </row>
        <row r="18">
          <cell r="B18">
            <v>50501</v>
          </cell>
          <cell r="C18" t="str">
            <v>回气</v>
          </cell>
        </row>
        <row r="19">
          <cell r="B19">
            <v>50502</v>
          </cell>
          <cell r="C19" t="str">
            <v>动作如潮</v>
          </cell>
        </row>
        <row r="20">
          <cell r="B20">
            <v>50503</v>
          </cell>
          <cell r="C20" t="str">
            <v>巨武器战斗</v>
          </cell>
        </row>
        <row r="21">
          <cell r="B21">
            <v>50801</v>
          </cell>
          <cell r="C21" t="str">
            <v>自然探索者</v>
          </cell>
        </row>
        <row r="22">
          <cell r="B22">
            <v>50301</v>
          </cell>
          <cell r="C22" t="str">
            <v>圣火术</v>
          </cell>
        </row>
        <row r="23">
          <cell r="B23">
            <v>50302</v>
          </cell>
          <cell r="C23" t="str">
            <v>祝福术</v>
          </cell>
        </row>
        <row r="24">
          <cell r="B24">
            <v>50303</v>
          </cell>
          <cell r="C24" t="str">
            <v>治愈真言</v>
          </cell>
        </row>
        <row r="25">
          <cell r="B25">
            <v>50201</v>
          </cell>
          <cell r="C25" t="str">
            <v>诗人激励</v>
          </cell>
        </row>
        <row r="26">
          <cell r="B26">
            <v>50202</v>
          </cell>
          <cell r="C26" t="str">
            <v>恶言相加</v>
          </cell>
        </row>
        <row r="27">
          <cell r="B27">
            <v>50203</v>
          </cell>
          <cell r="C27" t="str">
            <v>塔莎狂笑术</v>
          </cell>
        </row>
        <row r="28">
          <cell r="B28">
            <v>51001</v>
          </cell>
          <cell r="C28" t="str">
            <v>魔法飞弹</v>
          </cell>
        </row>
        <row r="29">
          <cell r="B29">
            <v>51002</v>
          </cell>
          <cell r="C29" t="str">
            <v>燃烧之手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tabSelected="1" workbookViewId="0">
      <selection activeCell="L18" sqref="L18"/>
    </sheetView>
  </sheetViews>
  <sheetFormatPr defaultColWidth="9" defaultRowHeight="14.5"/>
  <sheetData>
    <row r="1" spans="1: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 t="s">
        <v>8</v>
      </c>
      <c r="U1" s="2"/>
    </row>
    <row r="2" spans="1:21">
      <c r="A2" s="1" t="s">
        <v>9</v>
      </c>
      <c r="B2" s="1" t="s">
        <v>10</v>
      </c>
      <c r="C2" s="1" t="s">
        <v>11</v>
      </c>
      <c r="D2" s="2" t="s">
        <v>12</v>
      </c>
      <c r="E2" s="2" t="s">
        <v>13</v>
      </c>
      <c r="F2" s="2" t="s">
        <v>14</v>
      </c>
      <c r="G2" s="1" t="s">
        <v>15</v>
      </c>
      <c r="H2" s="2" t="s">
        <v>16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1" t="s">
        <v>9</v>
      </c>
      <c r="B3" s="1"/>
      <c r="C3" s="1"/>
      <c r="D3" s="3"/>
      <c r="E3" s="3"/>
      <c r="F3" s="3"/>
      <c r="G3" s="1"/>
      <c r="H3" s="2" t="s">
        <v>17</v>
      </c>
      <c r="I3" s="2"/>
      <c r="J3" s="2"/>
      <c r="K3" s="2"/>
      <c r="L3" s="2"/>
      <c r="M3" s="2"/>
      <c r="N3" s="1" t="s">
        <v>18</v>
      </c>
      <c r="O3" s="1" t="s">
        <v>19</v>
      </c>
      <c r="P3" s="1" t="s">
        <v>20</v>
      </c>
      <c r="Q3" s="1" t="s">
        <v>21</v>
      </c>
      <c r="R3" s="2" t="s">
        <v>22</v>
      </c>
      <c r="S3" s="2"/>
      <c r="T3" s="2"/>
      <c r="U3" s="2"/>
    </row>
    <row r="4" spans="1:21">
      <c r="A4" s="1" t="s">
        <v>9</v>
      </c>
      <c r="B4" s="1"/>
      <c r="C4" s="1"/>
      <c r="D4" s="3"/>
      <c r="E4" s="3"/>
      <c r="F4" s="3"/>
      <c r="G4" s="1"/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/>
      <c r="O4" s="1"/>
      <c r="P4" s="1"/>
      <c r="Q4" s="1"/>
      <c r="R4" s="2"/>
      <c r="S4" s="2"/>
      <c r="T4" s="2"/>
      <c r="U4" s="2"/>
    </row>
    <row r="5" spans="1:21">
      <c r="A5" s="1" t="s">
        <v>29</v>
      </c>
      <c r="B5" s="1" t="s">
        <v>30</v>
      </c>
      <c r="C5" s="1" t="s">
        <v>31</v>
      </c>
      <c r="D5" s="3" t="s">
        <v>32</v>
      </c>
      <c r="E5" s="3" t="s">
        <v>33</v>
      </c>
      <c r="F5" s="3" t="s">
        <v>34</v>
      </c>
      <c r="G5" s="1" t="s">
        <v>35</v>
      </c>
      <c r="H5" s="1" t="s">
        <v>36</v>
      </c>
      <c r="I5" s="1" t="s">
        <v>37</v>
      </c>
      <c r="J5" s="1" t="s">
        <v>38</v>
      </c>
      <c r="K5" s="1" t="s">
        <v>39</v>
      </c>
      <c r="L5" s="1" t="s">
        <v>40</v>
      </c>
      <c r="M5" s="1" t="s">
        <v>41</v>
      </c>
      <c r="N5" s="1" t="s">
        <v>42</v>
      </c>
      <c r="O5" s="1" t="s">
        <v>43</v>
      </c>
      <c r="P5" s="1" t="s">
        <v>44</v>
      </c>
      <c r="Q5" s="1" t="s">
        <v>45</v>
      </c>
      <c r="R5" s="2" t="s">
        <v>46</v>
      </c>
      <c r="S5" s="2"/>
      <c r="T5" s="2"/>
      <c r="U5" s="2"/>
    </row>
    <row r="6" spans="1:21">
      <c r="A6" s="4"/>
      <c r="B6" s="5">
        <v>30001</v>
      </c>
      <c r="C6" s="6" t="s">
        <v>47</v>
      </c>
      <c r="D6" s="5" t="s">
        <v>47</v>
      </c>
      <c r="E6" s="5" t="s">
        <v>48</v>
      </c>
      <c r="F6" s="6" t="s">
        <v>49</v>
      </c>
      <c r="G6" s="5" t="s">
        <v>50</v>
      </c>
      <c r="H6" s="7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10" t="s">
        <v>51</v>
      </c>
      <c r="O6" s="11">
        <v>10</v>
      </c>
      <c r="P6" s="11">
        <v>6</v>
      </c>
      <c r="Q6" s="11">
        <v>0</v>
      </c>
      <c r="R6" s="12"/>
      <c r="S6" s="13"/>
      <c r="T6" s="12" t="str">
        <f>IF(R6="","",IFERROR(VLOOKUP(R6,[1]角色_能力!B:C,2,FALSE),"ERROR"))</f>
        <v/>
      </c>
      <c r="U6" s="13" t="str">
        <f>IF(S6="","",IFERROR(VLOOKUP(S6,[1]角色_能力!B:C,2,FALSE),"ERROR"))</f>
        <v/>
      </c>
    </row>
    <row r="7" spans="1:21">
      <c r="A7" s="4"/>
      <c r="B7" s="5">
        <v>30002</v>
      </c>
      <c r="C7" s="6" t="s">
        <v>52</v>
      </c>
      <c r="D7" s="5" t="s">
        <v>53</v>
      </c>
      <c r="E7" s="5" t="s">
        <v>48</v>
      </c>
      <c r="F7" s="6" t="s">
        <v>49</v>
      </c>
      <c r="G7" s="5" t="s">
        <v>54</v>
      </c>
      <c r="H7" s="7">
        <v>0</v>
      </c>
      <c r="I7" s="9">
        <v>0</v>
      </c>
      <c r="J7" s="9">
        <v>2</v>
      </c>
      <c r="K7" s="9">
        <v>0</v>
      </c>
      <c r="L7" s="9">
        <v>2</v>
      </c>
      <c r="M7" s="9">
        <v>0</v>
      </c>
      <c r="N7" s="10" t="s">
        <v>55</v>
      </c>
      <c r="O7" s="11">
        <v>10</v>
      </c>
      <c r="P7" s="11">
        <v>5</v>
      </c>
      <c r="Q7" s="11">
        <v>0</v>
      </c>
      <c r="R7" s="12">
        <v>50011</v>
      </c>
      <c r="S7" s="14"/>
      <c r="T7" s="12" t="str">
        <f>IF(R7="","",IFERROR(VLOOKUP(R7,[1]角色_能力!B:C,2,FALSE),"ERROR"))</f>
        <v>矮人坚韧</v>
      </c>
      <c r="U7" s="14" t="str">
        <f>IF(S7="","",IFERROR(VLOOKUP(S7,[1]角色_能力!B:C,2,FALSE),"ERROR"))</f>
        <v/>
      </c>
    </row>
    <row r="8" spans="1:21">
      <c r="A8" s="4"/>
      <c r="B8" s="5">
        <v>30003</v>
      </c>
      <c r="C8" s="6" t="s">
        <v>56</v>
      </c>
      <c r="D8" s="5" t="s">
        <v>53</v>
      </c>
      <c r="E8" s="5" t="s">
        <v>48</v>
      </c>
      <c r="F8" s="6" t="s">
        <v>49</v>
      </c>
      <c r="G8" s="5" t="s">
        <v>54</v>
      </c>
      <c r="H8" s="7">
        <v>2</v>
      </c>
      <c r="I8" s="9">
        <v>0</v>
      </c>
      <c r="J8" s="9">
        <v>2</v>
      </c>
      <c r="K8" s="9">
        <v>0</v>
      </c>
      <c r="L8" s="9">
        <v>0</v>
      </c>
      <c r="M8" s="9">
        <v>0</v>
      </c>
      <c r="N8" s="10" t="s">
        <v>55</v>
      </c>
      <c r="O8" s="11">
        <v>10</v>
      </c>
      <c r="P8" s="11">
        <v>5</v>
      </c>
      <c r="Q8" s="11">
        <v>0</v>
      </c>
      <c r="R8" s="12">
        <v>50011</v>
      </c>
      <c r="S8" s="14"/>
      <c r="T8" s="12" t="str">
        <f>IF(R8="","",IFERROR(VLOOKUP(R8,[1]角色_能力!B:C,2,FALSE),"ERROR"))</f>
        <v>矮人坚韧</v>
      </c>
      <c r="U8" s="14" t="str">
        <f>IF(S8="","",IFERROR(VLOOKUP(S8,[1]角色_能力!B:C,2,FALSE),"ERROR"))</f>
        <v/>
      </c>
    </row>
    <row r="9" spans="1:21">
      <c r="A9" s="4"/>
      <c r="B9" s="5">
        <v>30004</v>
      </c>
      <c r="C9" s="6" t="s">
        <v>57</v>
      </c>
      <c r="D9" s="5" t="s">
        <v>58</v>
      </c>
      <c r="E9" s="5" t="s">
        <v>48</v>
      </c>
      <c r="F9" s="6" t="s">
        <v>49</v>
      </c>
      <c r="G9" s="5" t="s">
        <v>59</v>
      </c>
      <c r="H9" s="7">
        <v>0</v>
      </c>
      <c r="I9" s="9">
        <v>2</v>
      </c>
      <c r="J9" s="9">
        <v>0</v>
      </c>
      <c r="K9" s="9">
        <v>0</v>
      </c>
      <c r="L9" s="9">
        <v>1</v>
      </c>
      <c r="M9" s="9">
        <v>0</v>
      </c>
      <c r="N9" s="10" t="s">
        <v>51</v>
      </c>
      <c r="O9" s="11">
        <v>10</v>
      </c>
      <c r="P9" s="11">
        <v>7</v>
      </c>
      <c r="Q9" s="11">
        <v>0</v>
      </c>
      <c r="R9" s="12"/>
      <c r="S9" s="14"/>
      <c r="T9" s="12" t="str">
        <f>IF(R9="","",IFERROR(VLOOKUP(R9,[1]角色_能力!B:C,2,FALSE),"ERROR"))</f>
        <v/>
      </c>
      <c r="U9" s="13" t="str">
        <f>IF(S9="","",IFERROR(VLOOKUP(S9,[1]角色_能力!B:C,2,FALSE),"ERROR"))</f>
        <v/>
      </c>
    </row>
    <row r="10" spans="1:21">
      <c r="A10" s="4"/>
      <c r="B10" s="5">
        <v>30005</v>
      </c>
      <c r="C10" s="6" t="s">
        <v>60</v>
      </c>
      <c r="D10" s="5" t="s">
        <v>58</v>
      </c>
      <c r="E10" s="5" t="s">
        <v>48</v>
      </c>
      <c r="F10" s="6" t="s">
        <v>49</v>
      </c>
      <c r="G10" s="5" t="s">
        <v>61</v>
      </c>
      <c r="H10" s="7">
        <v>0</v>
      </c>
      <c r="I10" s="9">
        <v>2</v>
      </c>
      <c r="J10" s="9">
        <v>0</v>
      </c>
      <c r="K10" s="9">
        <v>0</v>
      </c>
      <c r="L10" s="9">
        <v>1</v>
      </c>
      <c r="M10" s="9">
        <v>0</v>
      </c>
      <c r="N10" s="10" t="s">
        <v>51</v>
      </c>
      <c r="O10" s="11">
        <v>10</v>
      </c>
      <c r="P10" s="11">
        <v>7</v>
      </c>
      <c r="Q10" s="11">
        <v>0</v>
      </c>
      <c r="R10" s="12">
        <v>51201</v>
      </c>
      <c r="S10" s="14">
        <v>51202</v>
      </c>
      <c r="T10" s="12" t="str">
        <f>IF(R10="","",IFERROR(VLOOKUP(R10,[1]角色_能力!B:C,2,FALSE),"ERROR"))</f>
        <v>冷冻射线</v>
      </c>
      <c r="U10" s="14" t="str">
        <f>IF(S10="","",IFERROR(VLOOKUP(S10,[1]角色_能力!B:C,2,FALSE),"ERROR"))</f>
        <v>火焰箭</v>
      </c>
    </row>
    <row r="11" spans="1:21">
      <c r="A11" s="4"/>
      <c r="B11" s="5">
        <v>30006</v>
      </c>
      <c r="C11" s="6" t="s">
        <v>62</v>
      </c>
      <c r="D11" s="5" t="s">
        <v>62</v>
      </c>
      <c r="E11" s="8" t="s">
        <v>48</v>
      </c>
      <c r="F11" s="6" t="s">
        <v>63</v>
      </c>
      <c r="G11" s="5" t="s">
        <v>61</v>
      </c>
      <c r="H11" s="7">
        <v>0</v>
      </c>
      <c r="I11" s="9">
        <v>2</v>
      </c>
      <c r="J11" s="9">
        <v>0</v>
      </c>
      <c r="K11" s="9">
        <v>0</v>
      </c>
      <c r="L11" s="9">
        <v>0</v>
      </c>
      <c r="M11" s="9">
        <v>1</v>
      </c>
      <c r="N11" s="10" t="s">
        <v>51</v>
      </c>
      <c r="O11" s="11">
        <v>10</v>
      </c>
      <c r="P11" s="11">
        <v>5</v>
      </c>
      <c r="Q11" s="11">
        <v>0</v>
      </c>
      <c r="R11" s="12">
        <v>50013</v>
      </c>
      <c r="S11" s="14"/>
      <c r="T11" s="12" t="str">
        <f>IF(R11="","",IFERROR(VLOOKUP(R11,[1]角色_能力!B:C,2,FALSE),"ERROR"))</f>
        <v>幸运</v>
      </c>
      <c r="U11" s="14" t="str">
        <f>IF(S11="","",IFERROR(VLOOKUP(S11,[1]角色_能力!B:C,2,FALSE),"ERROR"))</f>
        <v/>
      </c>
    </row>
    <row r="12" spans="1:21">
      <c r="A12" s="4"/>
      <c r="B12" s="5">
        <v>30007</v>
      </c>
      <c r="C12" s="6" t="s">
        <v>64</v>
      </c>
      <c r="D12" s="5" t="s">
        <v>64</v>
      </c>
      <c r="E12" s="5" t="s">
        <v>48</v>
      </c>
      <c r="F12" s="6" t="s">
        <v>63</v>
      </c>
      <c r="G12" s="5" t="s">
        <v>61</v>
      </c>
      <c r="H12" s="7">
        <v>0</v>
      </c>
      <c r="I12" s="9">
        <v>1</v>
      </c>
      <c r="J12" s="9">
        <v>0</v>
      </c>
      <c r="K12" s="9">
        <v>2</v>
      </c>
      <c r="L12" s="9">
        <v>0</v>
      </c>
      <c r="M12" s="9">
        <v>0</v>
      </c>
      <c r="N12" s="10" t="s">
        <v>51</v>
      </c>
      <c r="O12" s="11">
        <v>10</v>
      </c>
      <c r="P12" s="11">
        <v>5</v>
      </c>
      <c r="Q12" s="11">
        <v>0</v>
      </c>
      <c r="R12" s="12">
        <v>50014</v>
      </c>
      <c r="S12" s="14"/>
      <c r="T12" s="12" t="str">
        <f>IF(R12="","",IFERROR(VLOOKUP(R12,[1]角色_能力!B:C,2,FALSE),"ERROR"))</f>
        <v>侏儒狡黠</v>
      </c>
      <c r="U12" s="13" t="str">
        <f>IF(S12="","",IFERROR(VLOOKUP(S12,[1]角色_能力!B:C,2,FALSE),"ERROR"))</f>
        <v/>
      </c>
    </row>
    <row r="13" spans="1:21">
      <c r="A13" s="4"/>
      <c r="B13" s="5">
        <v>30008</v>
      </c>
      <c r="C13" s="6" t="s">
        <v>65</v>
      </c>
      <c r="D13" s="5" t="s">
        <v>65</v>
      </c>
      <c r="E13" s="5" t="s">
        <v>48</v>
      </c>
      <c r="F13" s="6" t="s">
        <v>49</v>
      </c>
      <c r="G13" s="5" t="s">
        <v>66</v>
      </c>
      <c r="H13" s="7">
        <v>0</v>
      </c>
      <c r="I13" s="9">
        <v>1</v>
      </c>
      <c r="J13" s="9">
        <v>0</v>
      </c>
      <c r="K13" s="9">
        <v>1</v>
      </c>
      <c r="L13" s="9">
        <v>0</v>
      </c>
      <c r="M13" s="9">
        <v>2</v>
      </c>
      <c r="N13" s="10" t="s">
        <v>51</v>
      </c>
      <c r="O13" s="11">
        <v>10</v>
      </c>
      <c r="P13" s="11">
        <v>6</v>
      </c>
      <c r="Q13" s="11">
        <v>0</v>
      </c>
      <c r="R13" s="12"/>
      <c r="S13" s="14"/>
      <c r="T13" s="12" t="str">
        <f>IF(R13="","",IFERROR(VLOOKUP(R13,[1]角色_能力!B:C,2,FALSE),"ERROR"))</f>
        <v/>
      </c>
      <c r="U13" s="14" t="str">
        <f>IF(S13="","",IFERROR(VLOOKUP(S13,[1]角色_能力!B:C,2,FALSE),"ERROR"))</f>
        <v/>
      </c>
    </row>
    <row r="14" spans="1:21">
      <c r="A14" s="4"/>
      <c r="B14" s="5">
        <v>30009</v>
      </c>
      <c r="C14" s="6" t="s">
        <v>67</v>
      </c>
      <c r="D14" s="5" t="s">
        <v>67</v>
      </c>
      <c r="E14" s="5" t="s">
        <v>48</v>
      </c>
      <c r="F14" s="6" t="s">
        <v>49</v>
      </c>
      <c r="G14" s="5" t="s">
        <v>61</v>
      </c>
      <c r="H14" s="7">
        <v>2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10" t="s">
        <v>51</v>
      </c>
      <c r="O14" s="11">
        <v>13</v>
      </c>
      <c r="P14" s="11">
        <v>6</v>
      </c>
      <c r="Q14" s="11">
        <v>0</v>
      </c>
      <c r="R14" s="12">
        <v>50015</v>
      </c>
      <c r="S14" s="14"/>
      <c r="T14" s="12" t="str">
        <f>IF(R14="","",IFERROR(VLOOKUP(R14,[1]角色_能力!B:C,2,FALSE),"ERROR"))</f>
        <v>吐息武器</v>
      </c>
      <c r="U14" s="14" t="str">
        <f>IF(S14="","",IFERROR(VLOOKUP(S14,[1]角色_能力!B:C,2,FALSE),"ERROR"))</f>
        <v/>
      </c>
    </row>
    <row r="15" spans="1:21">
      <c r="A15" s="4"/>
      <c r="B15" s="5">
        <v>30010</v>
      </c>
      <c r="C15" s="6" t="s">
        <v>68</v>
      </c>
      <c r="D15" s="5" t="s">
        <v>68</v>
      </c>
      <c r="E15" s="5" t="s">
        <v>48</v>
      </c>
      <c r="F15" s="6" t="s">
        <v>49</v>
      </c>
      <c r="G15" s="5" t="s">
        <v>61</v>
      </c>
      <c r="H15" s="7">
        <v>2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10" t="s">
        <v>51</v>
      </c>
      <c r="O15" s="11">
        <v>10</v>
      </c>
      <c r="P15" s="11">
        <v>6</v>
      </c>
      <c r="Q15" s="11">
        <v>0</v>
      </c>
      <c r="R15" s="12">
        <v>50012</v>
      </c>
      <c r="S15" s="14"/>
      <c r="T15" s="12" t="str">
        <f>IF(R15="","",IFERROR(VLOOKUP(R15,[1]角色_能力!B:C,2,FALSE),"ERROR"))</f>
        <v>凶蛮攻击</v>
      </c>
      <c r="U15" s="13" t="str">
        <f>IF(S15="","",IFERROR(VLOOKUP(S15,[1]角色_能力!B:C,2,FALSE),"ERROR"))</f>
        <v/>
      </c>
    </row>
    <row r="16" spans="1:21">
      <c r="A16" s="4"/>
      <c r="B16" s="5">
        <v>30011</v>
      </c>
      <c r="C16" s="6" t="s">
        <v>69</v>
      </c>
      <c r="D16" s="5" t="s">
        <v>69</v>
      </c>
      <c r="E16" s="5" t="s">
        <v>48</v>
      </c>
      <c r="F16" s="6" t="s">
        <v>49</v>
      </c>
      <c r="G16" s="5" t="s">
        <v>61</v>
      </c>
      <c r="H16" s="7">
        <v>0</v>
      </c>
      <c r="I16" s="9">
        <v>0</v>
      </c>
      <c r="J16" s="9">
        <v>0</v>
      </c>
      <c r="K16" s="9">
        <v>1</v>
      </c>
      <c r="L16" s="9">
        <v>0</v>
      </c>
      <c r="M16" s="9">
        <v>2</v>
      </c>
      <c r="N16" s="10" t="s">
        <v>70</v>
      </c>
      <c r="O16" s="11">
        <v>10</v>
      </c>
      <c r="P16" s="11">
        <v>6</v>
      </c>
      <c r="Q16" s="11">
        <v>0</v>
      </c>
      <c r="R16" s="12">
        <v>50016</v>
      </c>
      <c r="S16" s="14"/>
      <c r="T16" s="12" t="str">
        <f>IF(R16="","",IFERROR(VLOOKUP(R16,[1]角色_能力!B:C,2,FALSE),"ERROR"))</f>
        <v>炼狱叱喝</v>
      </c>
      <c r="U16" s="14" t="str">
        <f>IF(S16="","",IFERROR(VLOOKUP(S16,[1]角色_能力!B:C,2,FALSE),"ERROR"))</f>
        <v/>
      </c>
    </row>
  </sheetData>
  <mergeCells count="7">
    <mergeCell ref="H1:S1"/>
    <mergeCell ref="H2:S2"/>
    <mergeCell ref="H3:M3"/>
    <mergeCell ref="R3:S3"/>
    <mergeCell ref="R4:S4"/>
    <mergeCell ref="R5:S5"/>
    <mergeCell ref="T1:U5"/>
  </mergeCells>
  <conditionalFormatting sqref="U9">
    <cfRule type="containsText" dxfId="0" priority="1" operator="between" text="ERROR">
      <formula>NOT(ISERROR(SEARCH("ERROR",U9)))</formula>
    </cfRule>
  </conditionalFormatting>
  <conditionalFormatting sqref="T1 T6:U16">
    <cfRule type="containsText" dxfId="1" priority="2" operator="between" text="ERROR">
      <formula>NOT(ISERROR(SEARCH("ERROR",T1)))</formula>
    </cfRule>
  </conditionalFormatting>
  <conditionalFormatting sqref="H6:M16">
    <cfRule type="cellIs" dxfId="2" priority="3" operator="greaterThan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2025-12-07T11:23:12Z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D9F2A3C823C74050BF75D5F7A97CE115_12</vt:lpwstr>
  </property>
  <property fmtid="{D5CDD505-2E9C-101B-9397-08002B2CF9AE}" pid="3" name="KSOProductBuildVer">
    <vt:lpwstr>2057-12.2.0.23155</vt:lpwstr>
  </property>
</Properties>
</file>