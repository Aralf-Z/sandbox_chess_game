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<sst xmlns="http://schemas.openxmlformats.org/spreadsheetml/2006/main" count="195" uniqueCount="127">
  <si>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</si>
  <si>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</si>
  <si>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</si>
  <si>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</si>
  <si>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</si>
  <si>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</si>
  <si>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</si>
  <si>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</si>
  <si>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</si>
  <si>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</si>
  <si>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</si>
  <si>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</si>
  <si>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</si>
  <si>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</si>
  <si>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</t>
  </si>
  <si>
    <t>分割符</t>
  </si>
  <si>
    <t>别名</t>
  </si>
  <si>
    <t>注释</t>
  </si>
  <si>
    <t>字段名</t>
  </si>
  <si>
    <t>类型</t>
  </si>
  <si>
    <t>分组</t>
  </si>
  <si>
    <t>变体</t>
  </si>
  <si>
    <t>Game.Dice</t>
  </si>
  <si>
    <t>&amp;</t>
  </si>
  <si>
    <t>骰子</t>
  </si>
  <si>
    <t>amount</t>
  </si>
  <si>
    <t>int</t>
  </si>
  <si>
    <t>数量</t>
  </si>
  <si>
    <t>diceFaces</t>
  </si>
  <si>
    <t>骰子面数</t>
  </si>
  <si>
    <t>Character.Damage</t>
  </si>
  <si>
    <t>伤害</t>
  </si>
  <si>
    <t>dice</t>
  </si>
  <si>
    <t>数值</t>
  </si>
  <si>
    <t>damageType</t>
  </si>
  <si>
    <t>Character.EmDamageType</t>
  </si>
  <si>
    <t>Character.AttributePreset</t>
  </si>
  <si>
    <t>角色预设</t>
  </si>
  <si>
    <t>abilityScores</t>
  </si>
  <si>
    <t>Character.AbilityScore</t>
  </si>
  <si>
    <t>能力值</t>
  </si>
  <si>
    <t>resistance</t>
  </si>
  <si>
    <t>(map#sep=&amp;|),Character.EmDamageType,float</t>
  </si>
  <si>
    <t>伤害抗性</t>
  </si>
  <si>
    <t>armourClass</t>
  </si>
  <si>
    <t>护甲等级</t>
  </si>
  <si>
    <t>movement</t>
  </si>
  <si>
    <t>移动力</t>
  </si>
  <si>
    <t>initiative</t>
  </si>
  <si>
    <t>先攻</t>
  </si>
  <si>
    <t>abilities</t>
  </si>
  <si>
    <t>array,int</t>
  </si>
  <si>
    <t>能力</t>
  </si>
  <si>
    <t>strength</t>
  </si>
  <si>
    <t>力量</t>
  </si>
  <si>
    <t>dexterity</t>
  </si>
  <si>
    <t>敏捷</t>
  </si>
  <si>
    <t>constitution</t>
  </si>
  <si>
    <t>体质</t>
  </si>
  <si>
    <t>intelligent</t>
  </si>
  <si>
    <t>智力</t>
  </si>
  <si>
    <t>wisdom</t>
  </si>
  <si>
    <t>感知</t>
  </si>
  <si>
    <t>charisma</t>
  </si>
  <si>
    <t>魅力</t>
  </si>
  <si>
    <t>Character.ItemPreset</t>
  </si>
  <si>
    <t>预设角色道具</t>
  </si>
  <si>
    <t>mainHand</t>
  </si>
  <si>
    <t>int#ref=Character.TbEquipment?</t>
  </si>
  <si>
    <t>主手</t>
  </si>
  <si>
    <t>offHand</t>
  </si>
  <si>
    <t>副手</t>
  </si>
  <si>
    <t>body</t>
  </si>
  <si>
    <t>甲</t>
  </si>
  <si>
    <t>artifacts</t>
  </si>
  <si>
    <t>array,(int#ref=Character.TbArtifact?)</t>
  </si>
  <si>
    <t>奇物</t>
  </si>
  <si>
    <t>Character.MaxHp</t>
  </si>
  <si>
    <t>最大生命值</t>
  </si>
  <si>
    <t>Character.MaxHpFromDice</t>
  </si>
  <si>
    <t>^</t>
  </si>
  <si>
    <t>骰子生命值</t>
  </si>
  <si>
    <t>baseNumber</t>
  </si>
  <si>
    <t>基础值</t>
  </si>
  <si>
    <t>Character.MaxHpFromClass</t>
  </si>
  <si>
    <t>职业生命值</t>
  </si>
  <si>
    <t>Character.ItemInfo</t>
  </si>
  <si>
    <t>道具信息</t>
  </si>
  <si>
    <t>Character.EmptyInfo</t>
  </si>
  <si>
    <t>空占位符</t>
  </si>
  <si>
    <t>Character.WeaponInfo</t>
  </si>
  <si>
    <t>武器信息</t>
  </si>
  <si>
    <t>Character.EmEquipType</t>
  </si>
  <si>
    <t>基础类型</t>
  </si>
  <si>
    <t>Character.NArmourInfo</t>
  </si>
  <si>
    <t>|</t>
  </si>
  <si>
    <t>无甲信息</t>
  </si>
  <si>
    <t>Character.MArmourInfo</t>
  </si>
  <si>
    <t>轻甲信息</t>
  </si>
  <si>
    <t>Character.LArmourInfo</t>
  </si>
  <si>
    <t>中甲信息</t>
  </si>
  <si>
    <t>limited</t>
  </si>
  <si>
    <t>调整值上限</t>
  </si>
  <si>
    <t>Character.HArmourInfo</t>
  </si>
  <si>
    <t>重甲信息</t>
  </si>
  <si>
    <t>equipNeed</t>
  </si>
  <si>
    <t>装备力量需求</t>
  </si>
  <si>
    <t>Character.ShieldInfo</t>
  </si>
  <si>
    <t>盾牌信息</t>
  </si>
  <si>
    <t>Character.ArtifactInfo</t>
  </si>
  <si>
    <t>奇物信息</t>
  </si>
  <si>
    <t>Combat.SquadFormation</t>
  </si>
  <si>
    <t>战队队形</t>
  </si>
  <si>
    <t>id</t>
  </si>
  <si>
    <t>角色id</t>
  </si>
  <si>
    <t>row</t>
  </si>
  <si>
    <t>排</t>
  </si>
  <si>
    <t>column</t>
  </si>
  <si>
    <t>列</t>
  </si>
  <si>
    <t>Character.Asset</t>
  </si>
  <si>
    <t>prefab</t>
  </si>
  <si>
    <t>string</t>
  </si>
  <si>
    <t>预制体</t>
  </si>
  <si>
    <t>squadPrefab</t>
  </si>
  <si>
    <t>小队预制体</t>
  </si>
  <si>
    <t>icon</t>
  </si>
  <si>
    <t>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</si>
</sst>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9C0006"/>
      <name val="等线"/>
      <charset val="134"/>
    </font>
    <font>
      <sz val="11"/>
      <color rgb="FF000000"/>
      <name val="等线"/>
      <charset val="134"/>
    </font>
    <font>
      <sz val="11"/>
      <color rgb="FF006100"/>
      <name val="等线"/>
      <charset val="134"/>
    </font>
    <font>
      <sz val="11"/>
      <name val="等线"/>
      <charset val="134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1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ill="1"/>
    <xf numFmtId="0" fontId="1" fillId="0" borderId="0" xfId="23" applyNumberFormat="1" applyFont="1" applyFill="1" applyBorder="1" applyAlignment="1" applyProtection="1">
      <alignment vertical="center"/>
    </xf>
    <xf numFmtId="0" fontId="2" fillId="0" borderId="0" xfId="0" applyFont="1" applyFill="1" applyAlignment="1">
      <alignment vertical="center"/>
    </xf>
    <xf numFmtId="0" fontId="3" fillId="2" borderId="0" xfId="22" applyNumberFormat="1" applyFont="1" applyFill="1" applyBorder="1" applyAlignment="1" applyProtection="1">
      <alignment horizontal="center" vertical="center"/>
    </xf>
    <xf numFmtId="0" fontId="4" fillId="0" borderId="0" xfId="0" applyFont="1" applyFill="1" applyAlignment="1">
      <alignment vertical="center"/>
    </xf>
    <xf numFmtId="0" fontId="5" fillId="3" borderId="1" xfId="16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tabSelected="1" topLeftCell="A13" workbookViewId="0">
      <selection activeCell="B49" sqref="B49"/>
    </sheetView>
  </sheetViews>
  <sheetFormatPr defaultColWidth="8.72727272727273" defaultRowHeight="14"/>
  <cols>
    <col min="2" max="2" width="28.8181818181818" customWidth="1"/>
    <col min="3" max="3" width="20" customWidth="1"/>
    <col min="10" max="10" width="13.0909090909091" customWidth="1"/>
    <col min="11" max="11" width="47.1818181818182" customWidth="1"/>
    <col min="13" max="13" width="8.09090909090909" customWidth="1"/>
    <col min="14" max="15" width="14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/>
      <c r="L1" s="4"/>
      <c r="M1" s="4"/>
      <c r="N1" s="4"/>
      <c r="O1" s="4"/>
      <c r="P1" s="4"/>
    </row>
    <row r="2" spans="1:16">
      <c r="A2" s="2" t="s">
        <v>0</v>
      </c>
      <c r="B2" s="3"/>
      <c r="C2" s="3"/>
      <c r="D2" s="3"/>
      <c r="E2" s="3"/>
      <c r="F2" s="3"/>
      <c r="G2" s="3"/>
      <c r="H2" s="3"/>
      <c r="I2" s="3"/>
      <c r="J2" s="3" t="s">
        <v>10</v>
      </c>
      <c r="K2" s="3" t="s">
        <v>11</v>
      </c>
      <c r="L2" s="3" t="s">
        <v>7</v>
      </c>
      <c r="M2" s="3" t="s">
        <v>12</v>
      </c>
      <c r="N2" s="3" t="s">
        <v>5</v>
      </c>
      <c r="O2" s="3" t="s">
        <v>6</v>
      </c>
      <c r="P2" s="3" t="s">
        <v>8</v>
      </c>
    </row>
    <row r="3" spans="1:16">
      <c r="A3" s="3" t="s">
        <v>13</v>
      </c>
      <c r="B3" s="3" t="s">
        <v>14</v>
      </c>
      <c r="C3" s="3"/>
      <c r="D3" s="3"/>
      <c r="E3" s="3" t="s">
        <v>15</v>
      </c>
      <c r="F3" s="3" t="s">
        <v>16</v>
      </c>
      <c r="G3" s="3" t="s">
        <v>17</v>
      </c>
      <c r="H3" s="3"/>
      <c r="I3" s="3"/>
      <c r="J3" s="3" t="s">
        <v>18</v>
      </c>
      <c r="K3" s="3" t="s">
        <v>19</v>
      </c>
      <c r="L3" s="3" t="s">
        <v>20</v>
      </c>
      <c r="M3" s="3" t="s">
        <v>21</v>
      </c>
      <c r="N3" s="3" t="s">
        <v>16</v>
      </c>
      <c r="O3" s="3" t="s">
        <v>17</v>
      </c>
      <c r="P3" s="3"/>
    </row>
    <row r="4" spans="1:16">
      <c r="A4" s="3"/>
      <c r="B4" s="1" t="s">
        <v>22</v>
      </c>
      <c r="C4" s="1"/>
      <c r="D4" s="1"/>
      <c r="E4" s="1" t="s">
        <v>23</v>
      </c>
      <c r="F4" s="1" t="s">
        <v>24</v>
      </c>
      <c r="G4" s="1" t="str">
        <f>F4</f>
        <v>骰子</v>
      </c>
      <c r="H4" s="1"/>
      <c r="I4" s="1"/>
      <c r="J4" s="1" t="s">
        <v>25</v>
      </c>
      <c r="K4" s="1" t="s">
        <v>26</v>
      </c>
      <c r="L4" s="1"/>
      <c r="M4" s="1"/>
      <c r="N4" s="1" t="s">
        <v>27</v>
      </c>
      <c r="O4" s="1" t="str">
        <f>N4</f>
        <v>数量</v>
      </c>
      <c r="P4" s="1"/>
    </row>
    <row r="5" spans="1:16">
      <c r="A5" s="5"/>
      <c r="B5" s="1"/>
      <c r="C5" s="1"/>
      <c r="D5" s="1"/>
      <c r="E5" s="1"/>
      <c r="F5" s="1"/>
      <c r="G5" s="1"/>
      <c r="H5" s="1"/>
      <c r="I5" s="1"/>
      <c r="J5" s="1" t="s">
        <v>28</v>
      </c>
      <c r="K5" s="1" t="s">
        <v>26</v>
      </c>
      <c r="L5" s="1"/>
      <c r="M5" s="1"/>
      <c r="N5" s="1" t="s">
        <v>29</v>
      </c>
      <c r="O5" s="1" t="str">
        <f>N5</f>
        <v>骰子面数</v>
      </c>
      <c r="P5" s="1"/>
    </row>
    <row r="6" s="1" customFormat="1" spans="1:16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5"/>
      <c r="B7" s="1" t="s">
        <v>30</v>
      </c>
      <c r="C7" s="1"/>
      <c r="D7" s="1"/>
      <c r="E7" s="1"/>
      <c r="F7" s="1" t="s">
        <v>31</v>
      </c>
      <c r="G7" s="1" t="str">
        <f>F7</f>
        <v>伤害</v>
      </c>
      <c r="H7" s="1"/>
      <c r="I7" s="1"/>
      <c r="J7" s="1" t="s">
        <v>32</v>
      </c>
      <c r="K7" s="1" t="s">
        <v>22</v>
      </c>
      <c r="L7" s="1"/>
      <c r="M7" s="1"/>
      <c r="N7" s="1" t="s">
        <v>33</v>
      </c>
      <c r="O7" s="1" t="str">
        <f>N7</f>
        <v>数值</v>
      </c>
      <c r="P7" s="1"/>
    </row>
    <row r="8" spans="1:16">
      <c r="A8" s="5"/>
      <c r="B8" s="1"/>
      <c r="C8" s="1"/>
      <c r="D8" s="1"/>
      <c r="E8" s="1"/>
      <c r="F8" s="1"/>
      <c r="G8" s="1"/>
      <c r="H8" s="1"/>
      <c r="I8" s="1"/>
      <c r="J8" s="1" t="s">
        <v>34</v>
      </c>
      <c r="K8" s="1" t="s">
        <v>35</v>
      </c>
      <c r="L8" s="1"/>
      <c r="M8" s="1"/>
      <c r="N8" s="1" t="s">
        <v>19</v>
      </c>
      <c r="O8" s="1" t="str">
        <f>N8</f>
        <v>类型</v>
      </c>
      <c r="P8" s="1"/>
    </row>
    <row r="9" s="1" customFormat="1" spans="1:16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5"/>
      <c r="B10" s="1" t="s">
        <v>36</v>
      </c>
      <c r="C10" s="1"/>
      <c r="D10" s="1"/>
      <c r="E10" s="1"/>
      <c r="F10" s="1" t="s">
        <v>37</v>
      </c>
      <c r="G10" s="1" t="str">
        <f>F10</f>
        <v>角色预设</v>
      </c>
      <c r="H10" s="1"/>
      <c r="I10" s="1"/>
      <c r="J10" s="1" t="s">
        <v>38</v>
      </c>
      <c r="K10" s="1" t="s">
        <v>39</v>
      </c>
      <c r="L10" s="1"/>
      <c r="M10" s="1"/>
      <c r="N10" s="1" t="s">
        <v>40</v>
      </c>
      <c r="O10" s="1" t="str">
        <f t="shared" ref="O10:O15" si="0">N10</f>
        <v>能力值</v>
      </c>
      <c r="P10" s="1"/>
    </row>
    <row r="11" spans="1:16">
      <c r="A11" s="5"/>
      <c r="B11" s="1"/>
      <c r="C11" s="1"/>
      <c r="D11" s="1"/>
      <c r="E11" s="1"/>
      <c r="F11" s="1"/>
      <c r="G11" s="1"/>
      <c r="H11" s="1"/>
      <c r="I11" s="1"/>
      <c r="J11" s="1" t="s">
        <v>41</v>
      </c>
      <c r="K11" s="1" t="s">
        <v>42</v>
      </c>
      <c r="L11" s="1"/>
      <c r="M11" s="1"/>
      <c r="N11" s="1" t="s">
        <v>43</v>
      </c>
      <c r="O11" s="1" t="str">
        <f t="shared" si="0"/>
        <v>伤害抗性</v>
      </c>
      <c r="P11" s="1"/>
    </row>
    <row r="12" spans="1:16">
      <c r="A12" s="5"/>
      <c r="B12" s="1"/>
      <c r="C12" s="1"/>
      <c r="D12" s="1"/>
      <c r="E12" s="1"/>
      <c r="F12" s="1"/>
      <c r="G12" s="1"/>
      <c r="H12" s="1"/>
      <c r="I12" s="1"/>
      <c r="J12" s="1" t="s">
        <v>44</v>
      </c>
      <c r="K12" s="1" t="s">
        <v>26</v>
      </c>
      <c r="L12" s="1"/>
      <c r="M12" s="1"/>
      <c r="N12" s="1" t="s">
        <v>45</v>
      </c>
      <c r="O12" s="1" t="str">
        <f t="shared" si="0"/>
        <v>护甲等级</v>
      </c>
      <c r="P12" s="1"/>
    </row>
    <row r="13" spans="1:16">
      <c r="A13" s="5"/>
      <c r="B13" s="1"/>
      <c r="C13" s="1"/>
      <c r="D13" s="1"/>
      <c r="E13" s="1"/>
      <c r="F13" s="1"/>
      <c r="G13" s="1"/>
      <c r="H13" s="1"/>
      <c r="I13" s="1"/>
      <c r="J13" s="1" t="s">
        <v>46</v>
      </c>
      <c r="K13" s="1" t="s">
        <v>26</v>
      </c>
      <c r="L13" s="1"/>
      <c r="M13" s="1"/>
      <c r="N13" s="1" t="s">
        <v>47</v>
      </c>
      <c r="O13" s="1" t="str">
        <f t="shared" si="0"/>
        <v>移动力</v>
      </c>
      <c r="P13" s="1"/>
    </row>
    <row r="14" spans="1:16">
      <c r="A14" s="5"/>
      <c r="B14" s="1"/>
      <c r="C14" s="1"/>
      <c r="D14" s="1"/>
      <c r="E14" s="1"/>
      <c r="F14" s="1"/>
      <c r="G14" s="1"/>
      <c r="H14" s="1"/>
      <c r="I14" s="1"/>
      <c r="J14" s="1" t="s">
        <v>48</v>
      </c>
      <c r="K14" s="1" t="s">
        <v>26</v>
      </c>
      <c r="L14" s="1"/>
      <c r="M14" s="1"/>
      <c r="N14" s="1" t="s">
        <v>49</v>
      </c>
      <c r="O14" s="1" t="str">
        <f t="shared" si="0"/>
        <v>先攻</v>
      </c>
      <c r="P14" s="1"/>
    </row>
    <row r="15" spans="1:16">
      <c r="A15" s="5"/>
      <c r="B15" s="1"/>
      <c r="C15" s="1"/>
      <c r="D15" s="1"/>
      <c r="E15" s="1"/>
      <c r="F15" s="1"/>
      <c r="G15" s="1"/>
      <c r="H15" s="1"/>
      <c r="I15" s="1"/>
      <c r="J15" s="1" t="s">
        <v>50</v>
      </c>
      <c r="K15" s="1" t="s">
        <v>51</v>
      </c>
      <c r="L15" s="1"/>
      <c r="M15" s="1"/>
      <c r="N15" s="1" t="s">
        <v>52</v>
      </c>
      <c r="O15" s="1" t="str">
        <f t="shared" si="0"/>
        <v>能力</v>
      </c>
      <c r="P15" s="1"/>
    </row>
    <row r="16" spans="1:16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5"/>
      <c r="B17" s="1" t="s">
        <v>39</v>
      </c>
      <c r="C17" s="1"/>
      <c r="D17" s="1"/>
      <c r="E17" s="1"/>
      <c r="F17" s="1" t="s">
        <v>40</v>
      </c>
      <c r="G17" s="1" t="str">
        <f>F17</f>
        <v>能力值</v>
      </c>
      <c r="H17" s="1"/>
      <c r="I17" s="1"/>
      <c r="J17" s="1" t="s">
        <v>53</v>
      </c>
      <c r="K17" s="1" t="s">
        <v>26</v>
      </c>
      <c r="L17" s="1"/>
      <c r="M17" s="1"/>
      <c r="N17" s="1" t="s">
        <v>54</v>
      </c>
      <c r="O17" s="1" t="str">
        <f>N17</f>
        <v>力量</v>
      </c>
      <c r="P17" s="1"/>
    </row>
    <row r="18" spans="1:16">
      <c r="A18" s="5"/>
      <c r="B18" s="1"/>
      <c r="C18" s="1"/>
      <c r="D18" s="1"/>
      <c r="E18" s="1"/>
      <c r="F18" s="1"/>
      <c r="G18" s="1"/>
      <c r="H18" s="1"/>
      <c r="I18" s="1"/>
      <c r="J18" s="1" t="s">
        <v>55</v>
      </c>
      <c r="K18" s="1" t="s">
        <v>26</v>
      </c>
      <c r="L18" s="1"/>
      <c r="M18" s="1"/>
      <c r="N18" s="1" t="s">
        <v>56</v>
      </c>
      <c r="O18" s="1" t="str">
        <f>N18</f>
        <v>敏捷</v>
      </c>
      <c r="P18" s="1"/>
    </row>
    <row r="19" spans="1:16">
      <c r="A19" s="5"/>
      <c r="B19" s="1"/>
      <c r="C19" s="1"/>
      <c r="D19" s="1"/>
      <c r="E19" s="1"/>
      <c r="F19" s="1"/>
      <c r="G19" s="1"/>
      <c r="H19" s="1"/>
      <c r="I19" s="1"/>
      <c r="J19" s="1" t="s">
        <v>57</v>
      </c>
      <c r="K19" s="1" t="s">
        <v>26</v>
      </c>
      <c r="L19" s="1"/>
      <c r="M19" s="1"/>
      <c r="N19" s="1" t="s">
        <v>58</v>
      </c>
      <c r="O19" s="1" t="str">
        <f>N19</f>
        <v>体质</v>
      </c>
      <c r="P19" s="1"/>
    </row>
    <row r="20" spans="1:16">
      <c r="A20" s="5"/>
      <c r="B20" s="1"/>
      <c r="C20" s="1"/>
      <c r="D20" s="1"/>
      <c r="E20" s="1"/>
      <c r="F20" s="1"/>
      <c r="G20" s="1"/>
      <c r="H20" s="1"/>
      <c r="I20" s="1"/>
      <c r="J20" s="1" t="s">
        <v>59</v>
      </c>
      <c r="K20" s="1" t="s">
        <v>26</v>
      </c>
      <c r="L20" s="1"/>
      <c r="M20" s="1"/>
      <c r="N20" s="1" t="s">
        <v>60</v>
      </c>
      <c r="O20" s="1" t="str">
        <f>N20</f>
        <v>智力</v>
      </c>
      <c r="P20" s="1"/>
    </row>
    <row r="21" spans="1:16">
      <c r="A21" s="5"/>
      <c r="B21" s="1"/>
      <c r="C21" s="1"/>
      <c r="D21" s="1"/>
      <c r="E21" s="1"/>
      <c r="F21" s="1"/>
      <c r="G21" s="1"/>
      <c r="H21" s="1"/>
      <c r="I21" s="1"/>
      <c r="J21" s="1" t="s">
        <v>61</v>
      </c>
      <c r="K21" s="1" t="s">
        <v>26</v>
      </c>
      <c r="L21" s="1"/>
      <c r="M21" s="1"/>
      <c r="N21" s="1" t="s">
        <v>62</v>
      </c>
      <c r="O21" s="1" t="str">
        <f>N21</f>
        <v>感知</v>
      </c>
      <c r="P21" s="1"/>
    </row>
    <row r="22" spans="1:16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5"/>
      <c r="B23" s="1"/>
      <c r="C23" s="1"/>
      <c r="D23" s="1"/>
      <c r="E23" s="1"/>
      <c r="F23" s="1"/>
      <c r="G23" s="1"/>
      <c r="H23" s="1"/>
      <c r="I23" s="1"/>
      <c r="J23" s="1" t="s">
        <v>63</v>
      </c>
      <c r="K23" s="1" t="s">
        <v>26</v>
      </c>
      <c r="L23" s="1"/>
      <c r="M23" s="1"/>
      <c r="N23" s="1" t="s">
        <v>64</v>
      </c>
      <c r="O23" s="1" t="str">
        <f>N23</f>
        <v>魅力</v>
      </c>
      <c r="P23" s="1"/>
    </row>
    <row r="24" spans="1:16">
      <c r="A24" s="5"/>
      <c r="B24" s="1" t="s">
        <v>65</v>
      </c>
      <c r="C24" s="1"/>
      <c r="D24" s="1"/>
      <c r="E24" s="1"/>
      <c r="F24" s="1" t="s">
        <v>66</v>
      </c>
      <c r="G24" s="1" t="str">
        <f t="shared" ref="G24:G29" si="1">F24</f>
        <v>预设角色道具</v>
      </c>
      <c r="H24" s="1"/>
      <c r="I24" s="1"/>
      <c r="J24" s="1" t="s">
        <v>67</v>
      </c>
      <c r="K24" s="1" t="s">
        <v>68</v>
      </c>
      <c r="L24" s="1"/>
      <c r="M24" s="1"/>
      <c r="N24" s="1" t="s">
        <v>69</v>
      </c>
      <c r="O24" s="1" t="str">
        <f>N24</f>
        <v>主手</v>
      </c>
      <c r="P24" s="1"/>
    </row>
    <row r="25" spans="1:16">
      <c r="A25" s="5"/>
      <c r="B25" s="1"/>
      <c r="C25" s="1"/>
      <c r="D25" s="1"/>
      <c r="E25" s="1"/>
      <c r="F25" s="1"/>
      <c r="G25" s="1"/>
      <c r="H25" s="1"/>
      <c r="I25" s="1"/>
      <c r="J25" s="1" t="s">
        <v>70</v>
      </c>
      <c r="K25" s="1" t="s">
        <v>68</v>
      </c>
      <c r="L25" s="1"/>
      <c r="M25" s="1"/>
      <c r="N25" s="1" t="s">
        <v>71</v>
      </c>
      <c r="O25" s="1" t="str">
        <f>N25</f>
        <v>副手</v>
      </c>
      <c r="P25" s="1"/>
    </row>
    <row r="26" spans="1:16">
      <c r="A26" s="5"/>
      <c r="B26" s="1"/>
      <c r="C26" s="1"/>
      <c r="D26" s="1"/>
      <c r="E26" s="1"/>
      <c r="F26" s="1"/>
      <c r="G26" s="1"/>
      <c r="H26" s="1"/>
      <c r="I26" s="1"/>
      <c r="J26" s="1" t="s">
        <v>72</v>
      </c>
      <c r="K26" s="1" t="s">
        <v>68</v>
      </c>
      <c r="L26" s="1"/>
      <c r="M26" s="1"/>
      <c r="N26" s="1" t="s">
        <v>73</v>
      </c>
      <c r="O26" s="1" t="str">
        <f>N26</f>
        <v>甲</v>
      </c>
      <c r="P26" s="1"/>
    </row>
    <row r="27" spans="1:16">
      <c r="A27" s="5"/>
      <c r="B27" s="1"/>
      <c r="C27" s="1"/>
      <c r="D27" s="1"/>
      <c r="E27" s="1"/>
      <c r="F27" s="1"/>
      <c r="G27" s="1"/>
      <c r="H27" s="1"/>
      <c r="I27" s="1"/>
      <c r="J27" s="1" t="s">
        <v>74</v>
      </c>
      <c r="K27" s="1" t="s">
        <v>75</v>
      </c>
      <c r="L27" s="1"/>
      <c r="M27" s="1"/>
      <c r="N27" s="1" t="s">
        <v>76</v>
      </c>
      <c r="O27" s="1" t="str">
        <f>N27</f>
        <v>奇物</v>
      </c>
      <c r="P27" s="1"/>
    </row>
    <row r="28" spans="1:16">
      <c r="A28" s="7"/>
      <c r="B28" s="1" t="s">
        <v>77</v>
      </c>
      <c r="C28" s="1"/>
      <c r="D28" s="1"/>
      <c r="E28" s="1"/>
      <c r="F28" s="1" t="s">
        <v>78</v>
      </c>
      <c r="G28" s="1" t="str">
        <f t="shared" si="1"/>
        <v>最大生命值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5"/>
      <c r="B29" s="1" t="s">
        <v>79</v>
      </c>
      <c r="C29" s="1" t="s">
        <v>77</v>
      </c>
      <c r="D29" s="1"/>
      <c r="E29" s="1" t="s">
        <v>80</v>
      </c>
      <c r="F29" s="1" t="s">
        <v>81</v>
      </c>
      <c r="G29" s="1" t="str">
        <f t="shared" si="1"/>
        <v>骰子生命值</v>
      </c>
      <c r="H29" s="1"/>
      <c r="I29" s="1"/>
      <c r="J29" s="1" t="s">
        <v>32</v>
      </c>
      <c r="K29" s="1" t="s">
        <v>22</v>
      </c>
      <c r="L29" s="1"/>
      <c r="M29" s="1"/>
      <c r="N29" s="1" t="s">
        <v>24</v>
      </c>
      <c r="O29" s="1" t="str">
        <f>N29</f>
        <v>骰子</v>
      </c>
      <c r="P29" s="1"/>
    </row>
    <row r="30" spans="1:16">
      <c r="A30" s="5"/>
      <c r="B30" s="1"/>
      <c r="C30" s="1"/>
      <c r="D30" s="1"/>
      <c r="E30" s="1"/>
      <c r="F30" s="1"/>
      <c r="G30" s="1"/>
      <c r="H30" s="1"/>
      <c r="I30" s="1"/>
      <c r="J30" s="1" t="s">
        <v>82</v>
      </c>
      <c r="K30" s="1" t="s">
        <v>26</v>
      </c>
      <c r="L30" s="1"/>
      <c r="M30" s="1"/>
      <c r="N30" s="1" t="s">
        <v>83</v>
      </c>
      <c r="O30" s="1" t="str">
        <f>N30</f>
        <v>基础值</v>
      </c>
      <c r="P30" s="1"/>
    </row>
    <row r="31" spans="1:16">
      <c r="A31" s="5"/>
      <c r="B31" s="1" t="s">
        <v>84</v>
      </c>
      <c r="C31" s="1" t="s">
        <v>77</v>
      </c>
      <c r="D31" s="1"/>
      <c r="E31" s="1"/>
      <c r="F31" s="1" t="s">
        <v>85</v>
      </c>
      <c r="G31" s="1" t="str">
        <f>F31</f>
        <v>职业生命值</v>
      </c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>
      <c r="A33" s="5"/>
      <c r="B33" s="1" t="s">
        <v>86</v>
      </c>
      <c r="C33" s="1"/>
      <c r="D33" s="1"/>
      <c r="E33" s="1"/>
      <c r="F33" s="1" t="s">
        <v>87</v>
      </c>
      <c r="G33" s="1" t="str">
        <f>F33</f>
        <v>道具信息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5"/>
      <c r="B34" s="1" t="s">
        <v>88</v>
      </c>
      <c r="C34" s="1" t="s">
        <v>86</v>
      </c>
      <c r="D34" s="1"/>
      <c r="E34" s="1"/>
      <c r="F34" s="1" t="s">
        <v>89</v>
      </c>
      <c r="G34" s="1" t="s">
        <v>89</v>
      </c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5"/>
      <c r="B35" s="1" t="s">
        <v>90</v>
      </c>
      <c r="C35" s="1" t="s">
        <v>86</v>
      </c>
      <c r="D35" s="1"/>
      <c r="E35" s="1"/>
      <c r="F35" s="1" t="s">
        <v>91</v>
      </c>
      <c r="G35" s="1" t="str">
        <f>F35</f>
        <v>武器信息</v>
      </c>
      <c r="H35" s="1"/>
      <c r="I35" s="1"/>
      <c r="J35" s="1" t="s">
        <v>11</v>
      </c>
      <c r="K35" s="1" t="s">
        <v>92</v>
      </c>
      <c r="L35" s="1"/>
      <c r="M35" s="1"/>
      <c r="N35" s="1" t="s">
        <v>93</v>
      </c>
      <c r="O35" s="1" t="str">
        <f>N35</f>
        <v>基础类型</v>
      </c>
      <c r="P35" s="1"/>
    </row>
    <row r="36" spans="1:16">
      <c r="A36" s="5"/>
      <c r="B36" s="1" t="s">
        <v>94</v>
      </c>
      <c r="C36" s="1" t="s">
        <v>86</v>
      </c>
      <c r="D36" s="1"/>
      <c r="E36" s="1" t="s">
        <v>95</v>
      </c>
      <c r="F36" s="1" t="s">
        <v>96</v>
      </c>
      <c r="G36" s="1" t="str">
        <f>F36</f>
        <v>无甲信息</v>
      </c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5"/>
      <c r="B37" s="1" t="s">
        <v>97</v>
      </c>
      <c r="C37" s="1" t="s">
        <v>86</v>
      </c>
      <c r="D37" s="1"/>
      <c r="E37" s="1" t="s">
        <v>95</v>
      </c>
      <c r="F37" s="1" t="s">
        <v>98</v>
      </c>
      <c r="G37" s="1" t="str">
        <f>F37</f>
        <v>轻甲信息</v>
      </c>
      <c r="H37" s="1"/>
      <c r="I37" s="1"/>
      <c r="J37" s="1" t="s">
        <v>44</v>
      </c>
      <c r="K37" s="1" t="s">
        <v>26</v>
      </c>
      <c r="L37" s="1"/>
      <c r="M37" s="1"/>
      <c r="N37" s="1" t="s">
        <v>45</v>
      </c>
      <c r="O37" s="1" t="s">
        <v>45</v>
      </c>
      <c r="P37" s="1"/>
    </row>
    <row r="38" spans="1:16">
      <c r="A38" s="5"/>
      <c r="B38" s="1" t="s">
        <v>99</v>
      </c>
      <c r="C38" s="1" t="s">
        <v>86</v>
      </c>
      <c r="D38" s="1"/>
      <c r="E38" s="1" t="s">
        <v>95</v>
      </c>
      <c r="F38" s="1" t="s">
        <v>100</v>
      </c>
      <c r="G38" s="1" t="s">
        <v>100</v>
      </c>
      <c r="H38" s="1"/>
      <c r="I38" s="1"/>
      <c r="J38" s="1" t="s">
        <v>44</v>
      </c>
      <c r="K38" s="1" t="s">
        <v>26</v>
      </c>
      <c r="L38" s="1"/>
      <c r="M38" s="1"/>
      <c r="N38" s="1" t="s">
        <v>45</v>
      </c>
      <c r="O38" s="1" t="s">
        <v>45</v>
      </c>
      <c r="P38" s="1"/>
    </row>
    <row r="39" spans="1:16">
      <c r="A39" s="5"/>
      <c r="B39" s="1"/>
      <c r="C39" s="1"/>
      <c r="D39" s="1"/>
      <c r="E39" s="1"/>
      <c r="F39" s="1"/>
      <c r="G39" s="1"/>
      <c r="H39" s="1"/>
      <c r="I39" s="1"/>
      <c r="J39" s="1" t="s">
        <v>101</v>
      </c>
      <c r="K39" s="1" t="s">
        <v>26</v>
      </c>
      <c r="L39" s="1"/>
      <c r="M39" s="1"/>
      <c r="N39" s="1" t="s">
        <v>102</v>
      </c>
      <c r="O39" s="1" t="str">
        <f>N39</f>
        <v>调整值上限</v>
      </c>
      <c r="P39" s="1"/>
    </row>
    <row r="40" spans="1:16">
      <c r="A40" s="5"/>
      <c r="B40" s="1" t="s">
        <v>103</v>
      </c>
      <c r="C40" s="1" t="s">
        <v>86</v>
      </c>
      <c r="D40" s="1"/>
      <c r="E40" s="1" t="s">
        <v>95</v>
      </c>
      <c r="F40" s="1" t="s">
        <v>104</v>
      </c>
      <c r="G40" s="1" t="str">
        <f>F40</f>
        <v>重甲信息</v>
      </c>
      <c r="H40" s="1"/>
      <c r="I40" s="1"/>
      <c r="J40" s="1" t="s">
        <v>44</v>
      </c>
      <c r="K40" s="1" t="s">
        <v>26</v>
      </c>
      <c r="L40" s="1"/>
      <c r="M40" s="1"/>
      <c r="N40" s="1" t="s">
        <v>45</v>
      </c>
      <c r="O40" s="1" t="s">
        <v>45</v>
      </c>
      <c r="P40" s="1"/>
    </row>
    <row r="41" spans="1:16">
      <c r="A41" s="5"/>
      <c r="B41" s="1"/>
      <c r="C41" s="1"/>
      <c r="D41" s="1"/>
      <c r="E41" s="1"/>
      <c r="F41" s="1"/>
      <c r="G41" s="1"/>
      <c r="H41" s="1"/>
      <c r="I41" s="1"/>
      <c r="J41" s="1" t="s">
        <v>105</v>
      </c>
      <c r="K41" s="1" t="s">
        <v>26</v>
      </c>
      <c r="L41" s="1"/>
      <c r="M41" s="1"/>
      <c r="N41" s="1" t="s">
        <v>106</v>
      </c>
      <c r="O41" s="1" t="str">
        <f>N41</f>
        <v>装备力量需求</v>
      </c>
      <c r="P41" s="1"/>
    </row>
    <row r="42" spans="1:16">
      <c r="A42" s="5"/>
      <c r="B42" s="1" t="s">
        <v>107</v>
      </c>
      <c r="C42" s="1" t="s">
        <v>86</v>
      </c>
      <c r="D42" s="1"/>
      <c r="E42" s="1" t="s">
        <v>95</v>
      </c>
      <c r="F42" s="1" t="s">
        <v>108</v>
      </c>
      <c r="G42" s="1" t="str">
        <f>F42</f>
        <v>盾牌信息</v>
      </c>
      <c r="H42" s="1"/>
      <c r="I42" s="1"/>
      <c r="J42" s="1" t="s">
        <v>44</v>
      </c>
      <c r="K42" s="1" t="s">
        <v>26</v>
      </c>
      <c r="L42" s="1"/>
      <c r="M42" s="1"/>
      <c r="N42" s="1" t="s">
        <v>45</v>
      </c>
      <c r="O42" s="1" t="s">
        <v>45</v>
      </c>
      <c r="P42" s="1"/>
    </row>
    <row r="43" spans="1:16">
      <c r="A43" s="5"/>
      <c r="B43" s="1" t="s">
        <v>109</v>
      </c>
      <c r="C43" s="1" t="s">
        <v>86</v>
      </c>
      <c r="D43" s="1"/>
      <c r="E43" s="1"/>
      <c r="F43" s="1" t="s">
        <v>110</v>
      </c>
      <c r="G43" s="1" t="s">
        <v>110</v>
      </c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>
      <c r="A45" s="5"/>
      <c r="B45" s="1" t="s">
        <v>111</v>
      </c>
      <c r="C45" s="1"/>
      <c r="D45" s="1"/>
      <c r="E45" s="1"/>
      <c r="F45" s="1" t="s">
        <v>112</v>
      </c>
      <c r="G45" s="1"/>
      <c r="H45" s="1"/>
      <c r="I45" s="1"/>
      <c r="J45" s="1" t="s">
        <v>113</v>
      </c>
      <c r="K45" s="1" t="s">
        <v>26</v>
      </c>
      <c r="L45" s="1"/>
      <c r="M45" s="1"/>
      <c r="N45" s="1" t="s">
        <v>114</v>
      </c>
      <c r="O45" s="1" t="str">
        <f>N45</f>
        <v>角色id</v>
      </c>
      <c r="P45" s="1"/>
    </row>
    <row r="46" spans="1:16">
      <c r="A46" s="5"/>
      <c r="B46" s="1"/>
      <c r="C46" s="1"/>
      <c r="D46" s="1"/>
      <c r="E46" s="1"/>
      <c r="F46" s="1"/>
      <c r="G46" s="1"/>
      <c r="H46" s="1"/>
      <c r="I46" s="1"/>
      <c r="J46" s="1" t="s">
        <v>115</v>
      </c>
      <c r="K46" s="1" t="s">
        <v>26</v>
      </c>
      <c r="L46" s="1"/>
      <c r="M46" s="1"/>
      <c r="N46" s="1" t="s">
        <v>116</v>
      </c>
      <c r="O46" s="1" t="str">
        <f>N46</f>
        <v>排</v>
      </c>
      <c r="P46" s="1"/>
    </row>
    <row r="47" spans="1:16">
      <c r="A47" s="5"/>
      <c r="B47" s="1"/>
      <c r="C47" s="1"/>
      <c r="D47" s="1"/>
      <c r="E47" s="1"/>
      <c r="F47" s="1"/>
      <c r="G47" s="1"/>
      <c r="H47" s="1"/>
      <c r="I47" s="1"/>
      <c r="J47" s="1" t="s">
        <v>117</v>
      </c>
      <c r="K47" s="1" t="s">
        <v>26</v>
      </c>
      <c r="L47" s="1"/>
      <c r="M47" s="1"/>
      <c r="N47" s="1" t="s">
        <v>118</v>
      </c>
      <c r="O47" s="1" t="str">
        <f>N47</f>
        <v>列</v>
      </c>
      <c r="P47" s="1"/>
    </row>
    <row r="48" spans="1:1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2:15">
      <c r="B49" t="s">
        <v>119</v>
      </c>
      <c r="J49" t="s">
        <v>120</v>
      </c>
      <c r="K49" t="s">
        <v>121</v>
      </c>
      <c r="N49" t="s">
        <v>122</v>
      </c>
      <c r="O49" t="str">
        <f>N49</f>
        <v>预制体</v>
      </c>
    </row>
    <row r="50" spans="2:15">
      <c r="J50" t="s">
        <v>123</v>
      </c>
      <c r="K50" t="s">
        <v>121</v>
      </c>
      <c r="N50" t="s">
        <v>124</v>
      </c>
      <c r="O50" t="str">
        <f>N50</f>
        <v>小队预制体</v>
      </c>
    </row>
    <row r="51" spans="2:15">
      <c r="J51" t="s">
        <v>125</v>
      </c>
      <c r="K51" t="s">
        <v>121</v>
      </c>
      <c r="N51" t="s">
        <v>126</v>
      </c>
      <c r="O51" t="str">
        <f>N51</f>
        <v>图标</v>
      </c>
    </row>
  </sheetData>
  <mergeCells count="1">
    <mergeCell ref="J1:P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2025-07-21T09:59:00Z</dcterms:created>
  <dcterms:modified xsi:type="dcterms:W3CDTF">2026-04-18T03:16:44Z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6E6F4CE8F65A4471A78B55D6B71399B9_12</vt:lpwstr>
  </property>
  <property fmtid="{D5CDD505-2E9C-101B-9397-08002B2CF9AE}" pid="3" name="KSOProductBuildVer">
    <vt:lpwstr>2052-12.1.0.25242</vt:lpwstr>
  </property>
  <property fmtid="{D5CDD505-2E9C-101B-9397-08002B2CF9AE}" pid="4" name="CalculationRule">
    <vt:i4>0</vt:i4>
  </property>
</Properties>
</file>