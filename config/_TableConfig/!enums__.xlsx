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140" windowHeight="138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<sst xmlns="http://schemas.openxmlformats.org/spreadsheetml/2006/main" count="212" uniqueCount="204">
  <si>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</si>
  <si>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</si>
  <si>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</si>
  <si>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</si>
  <si>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</si>
  <si>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</si>
  <si>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</si>
  <si>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</si>
  <si>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</si>
  <si>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</si>
  <si>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</si>
  <si>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</si>
  <si>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</si>
  <si>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</si>
  <si>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</si>
  <si>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</si>
  <si>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</si>
  <si>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</si>
  <si>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</si>
  <si>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Character.EmAbilityScore</t>
  </si>
  <si>
    <t>角色能力值</t>
  </si>
  <si>
    <t>None</t>
  </si>
  <si>
    <t>无</t>
  </si>
  <si>
    <t>Strength</t>
  </si>
  <si>
    <t>力量</t>
  </si>
  <si>
    <t>Dexterity</t>
  </si>
  <si>
    <t>敏捷</t>
  </si>
  <si>
    <t>Constitution</t>
  </si>
  <si>
    <t>体质</t>
  </si>
  <si>
    <t>Intelligent</t>
  </si>
  <si>
    <t>智力</t>
  </si>
  <si>
    <t>Wisdom</t>
  </si>
  <si>
    <t>感知</t>
  </si>
  <si>
    <t>Charisma</t>
  </si>
  <si>
    <t>魅力</t>
  </si>
  <si>
    <t>Character.EmDamageType</t>
  </si>
  <si>
    <t>伤害类型</t>
  </si>
  <si>
    <t>Acid</t>
  </si>
  <si>
    <t>强酸</t>
  </si>
  <si>
    <t>Cold</t>
  </si>
  <si>
    <t>冰冻</t>
  </si>
  <si>
    <t>Fire</t>
  </si>
  <si>
    <t>火焰</t>
  </si>
  <si>
    <t>Lighting</t>
  </si>
  <si>
    <t>闪电</t>
  </si>
  <si>
    <t>Poison</t>
  </si>
  <si>
    <t>毒素</t>
  </si>
  <si>
    <t>Bludgeoning</t>
  </si>
  <si>
    <t>钝击</t>
  </si>
  <si>
    <t>Piercing</t>
  </si>
  <si>
    <t>穿刺</t>
  </si>
  <si>
    <t>Slashing</t>
  </si>
  <si>
    <t>挥砍</t>
  </si>
  <si>
    <t>Character.EmWeaponType</t>
  </si>
  <si>
    <t>武器类型</t>
  </si>
  <si>
    <t>OneHand</t>
  </si>
  <si>
    <t>单手</t>
  </si>
  <si>
    <t>TwoHand</t>
  </si>
  <si>
    <t>双手</t>
  </si>
  <si>
    <t>Character.EmEquipType</t>
  </si>
  <si>
    <t>基础武器</t>
  </si>
  <si>
    <t>NoArmour</t>
  </si>
  <si>
    <t>无甲</t>
  </si>
  <si>
    <t>LightArmour</t>
  </si>
  <si>
    <t>轻甲</t>
  </si>
  <si>
    <t>MediumArmour</t>
  </si>
  <si>
    <t>中甲</t>
  </si>
  <si>
    <t>HeavyArmour</t>
  </si>
  <si>
    <t>重甲</t>
  </si>
  <si>
    <t>Shield</t>
  </si>
  <si>
    <t>盾牌</t>
  </si>
  <si>
    <t>Club</t>
  </si>
  <si>
    <t>短棒</t>
  </si>
  <si>
    <t>Dagger</t>
  </si>
  <si>
    <t>匕首</t>
  </si>
  <si>
    <t>Greatclub</t>
  </si>
  <si>
    <t>巨棒</t>
  </si>
  <si>
    <t>Handaxe</t>
  </si>
  <si>
    <t>手斧</t>
  </si>
  <si>
    <t>Javelin</t>
  </si>
  <si>
    <t>标枪</t>
  </si>
  <si>
    <t>Quarterstaff</t>
  </si>
  <si>
    <t>长棍</t>
  </si>
  <si>
    <t>Sickle</t>
  </si>
  <si>
    <t>镰刀</t>
  </si>
  <si>
    <t>Spear</t>
  </si>
  <si>
    <t>矛</t>
  </si>
  <si>
    <t>LightCrossbow</t>
  </si>
  <si>
    <t>轻弩</t>
  </si>
  <si>
    <t>Dart</t>
  </si>
  <si>
    <t>飞镖</t>
  </si>
  <si>
    <t>Shortbow</t>
  </si>
  <si>
    <t>短弓</t>
  </si>
  <si>
    <t>Battleaxe</t>
  </si>
  <si>
    <t>战斧</t>
  </si>
  <si>
    <t>Flail</t>
  </si>
  <si>
    <t>链枷</t>
  </si>
  <si>
    <t>Greataxe</t>
  </si>
  <si>
    <t>巨斧</t>
  </si>
  <si>
    <t>Greatsword</t>
  </si>
  <si>
    <t>巨剑</t>
  </si>
  <si>
    <t>Longsword</t>
  </si>
  <si>
    <t>长剑</t>
  </si>
  <si>
    <t>Maul</t>
  </si>
  <si>
    <t>巨锤</t>
  </si>
  <si>
    <t>Pike</t>
  </si>
  <si>
    <t>长矛</t>
  </si>
  <si>
    <t>Rapier</t>
  </si>
  <si>
    <t>刺剑</t>
  </si>
  <si>
    <t>Scimiar</t>
  </si>
  <si>
    <t>弯刀</t>
  </si>
  <si>
    <t>ShortSword</t>
  </si>
  <si>
    <t>短剑</t>
  </si>
  <si>
    <t>Warhammer</t>
  </si>
  <si>
    <t>战锤</t>
  </si>
  <si>
    <t>HandCrossbow</t>
  </si>
  <si>
    <t>手弩</t>
  </si>
  <si>
    <t>HeavyCrossbow</t>
  </si>
  <si>
    <t>重弩</t>
  </si>
  <si>
    <t>Longbow</t>
  </si>
  <si>
    <t>长弓</t>
  </si>
  <si>
    <t>AllArmour</t>
  </si>
  <si>
    <t>所有护甲</t>
  </si>
  <si>
    <t>NoArmour|LightArmour|MediumArmour|HeavyArmour</t>
  </si>
  <si>
    <t>SimpleMelee</t>
  </si>
  <si>
    <t>简易近战</t>
  </si>
  <si>
    <t>Club|Dagger|Greatclub|Handaxe|Javelin|Quarterstaff|Sickle|Spear</t>
  </si>
  <si>
    <t>SimpleRanged</t>
  </si>
  <si>
    <t>简易远程</t>
  </si>
  <si>
    <t>LightCrossbow|Dart|Shortbow</t>
  </si>
  <si>
    <t>MartialMelee</t>
  </si>
  <si>
    <t>军用近战</t>
  </si>
  <si>
    <t>Battleaxe|Flail|Greataxe|Greatsword|Longsword|Maul|Pike|Rapier|Scimiar|ShortSword|Warhammer</t>
  </si>
  <si>
    <t>MartialRanged</t>
  </si>
  <si>
    <t>军用远程</t>
  </si>
  <si>
    <t>HandCrossbow|HeavyCrossbow|Longbow</t>
  </si>
  <si>
    <t>Simple</t>
  </si>
  <si>
    <t>简易武器</t>
  </si>
  <si>
    <t>SimpleMelee|SimpleRanged</t>
  </si>
  <si>
    <t>Martial</t>
  </si>
  <si>
    <t>军用武器</t>
  </si>
  <si>
    <t>MartialMelee|MartialRanged</t>
  </si>
  <si>
    <t>Character.EmBodyType</t>
  </si>
  <si>
    <t>角色体型</t>
  </si>
  <si>
    <t>Small</t>
  </si>
  <si>
    <t>小型</t>
  </si>
  <si>
    <t>Medium</t>
  </si>
  <si>
    <t>中型</t>
  </si>
  <si>
    <t>Large</t>
  </si>
  <si>
    <t>大型</t>
  </si>
  <si>
    <t>Gargantuan</t>
  </si>
  <si>
    <t>巨型</t>
  </si>
  <si>
    <t>Character.EmCreatureType</t>
  </si>
  <si>
    <t>生物类型</t>
  </si>
  <si>
    <t>Aberration</t>
  </si>
  <si>
    <t>异怪</t>
  </si>
  <si>
    <t>Beast</t>
  </si>
  <si>
    <t>野兽</t>
  </si>
  <si>
    <t>Celestial</t>
  </si>
  <si>
    <t>天界生物</t>
  </si>
  <si>
    <t>Constructs</t>
  </si>
  <si>
    <t>构造生物</t>
  </si>
  <si>
    <t>Dragons</t>
  </si>
  <si>
    <t>龙类</t>
  </si>
  <si>
    <t>Elementals</t>
  </si>
  <si>
    <t>元素生物</t>
  </si>
  <si>
    <t>Fey</t>
  </si>
  <si>
    <t>精类</t>
  </si>
  <si>
    <t>Fiends</t>
  </si>
  <si>
    <t>邪魔</t>
  </si>
  <si>
    <t>Giants</t>
  </si>
  <si>
    <t>巨人</t>
  </si>
  <si>
    <t>Humanoids</t>
  </si>
  <si>
    <t>类人</t>
  </si>
  <si>
    <t>Monstrosities</t>
  </si>
  <si>
    <t>怪兽</t>
  </si>
  <si>
    <t>Oozes</t>
  </si>
  <si>
    <t>泥怪</t>
  </si>
  <si>
    <t>Plant</t>
  </si>
  <si>
    <t>植物</t>
  </si>
  <si>
    <t>Undead</t>
  </si>
  <si>
    <t>不死生物</t>
  </si>
  <si>
    <t>Character.EmRace</t>
  </si>
  <si>
    <t>种族</t>
  </si>
  <si>
    <t>Human</t>
  </si>
  <si>
    <t>人类</t>
  </si>
  <si>
    <t>Dwarf</t>
  </si>
  <si>
    <t>矮人</t>
  </si>
  <si>
    <t>Elf</t>
  </si>
  <si>
    <t>精灵</t>
  </si>
  <si>
    <t>Halfling</t>
  </si>
  <si>
    <t>半身人</t>
  </si>
  <si>
    <t>Gnome</t>
  </si>
  <si>
    <t>侏儒</t>
  </si>
  <si>
    <t>HalfElf</t>
  </si>
  <si>
    <t>半精灵</t>
  </si>
  <si>
    <t>Dragonborn</t>
  </si>
  <si>
    <t>龙裔</t>
  </si>
  <si>
    <t>HalfOre</t>
  </si>
  <si>
    <t>半兽人</t>
  </si>
  <si>
    <t>Tiefling</t>
  </si>
  <si>
    <t>提夫林</t>
  </si>
  <si>
    <t>Goblin</t>
  </si>
  <si>
    <t>地精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</si>
</sst>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Calibri"/>
      <charset val="134"/>
      <scheme val="minor"/>
    </font>
    <font>
      <sz val="11"/>
      <color rgb="FF000000"/>
      <name val="等线"/>
      <charset val="134"/>
    </font>
    <font>
      <b/>
      <sz val="11"/>
      <color rgb="FF000000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2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2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0" borderId="0" xfId="0" applyFont="1" applyFill="1" applyAlignment="1"/>
    <xf numFmtId="0" fontId="1" fillId="3" borderId="2" xfId="16" applyNumberFormat="1" applyFont="1" applyFill="1" applyBorder="1" applyAlignment="1" applyProtection="1">
      <alignment horizontal="left" vertical="center"/>
    </xf>
    <xf numFmtId="0" fontId="1" fillId="3" borderId="2" xfId="16" applyNumberFormat="1" applyFont="1" applyFill="1" applyBorder="1" applyAlignment="1" applyProtection="1">
      <alignment horizontal="left"/>
    </xf>
    <xf numFmtId="0" fontId="1" fillId="0" borderId="3" xfId="8" applyNumberFormat="1" applyFont="1" applyFill="1" applyBorder="1" applyAlignment="1" applyProtection="1"/>
    <xf numFmtId="0" fontId="1" fillId="4" borderId="3" xfId="8" applyNumberFormat="1" applyFont="1" applyFill="1" applyBorder="1" applyAlignment="1" applyProtection="1">
      <alignment horizontal="left"/>
    </xf>
    <xf numFmtId="0" fontId="1" fillId="4" borderId="3" xfId="8" applyNumberFormat="1" applyFont="1" applyFill="1" applyBorder="1" applyAlignment="1" applyProtection="1">
      <alignment horizontal="left" vertical="center"/>
    </xf>
    <xf numFmtId="0" fontId="1" fillId="3" borderId="2" xfId="16" applyNumberFormat="1" applyFont="1" applyFill="1" applyBorder="1" applyAlignment="1" applyProtection="1">
      <alignment horizontal="left" vertical="center" wrapText="1"/>
    </xf>
    <xf numFmtId="0" fontId="2" fillId="4" borderId="3" xfId="8" applyNumberFormat="1" applyFont="1" applyFill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abSelected="1" topLeftCell="A6" workbookViewId="0">
      <selection activeCell="B22" sqref="B22"/>
    </sheetView>
  </sheetViews>
  <sheetFormatPr defaultColWidth="9" defaultRowHeight="14.5"/>
  <cols>
    <col min="1" max="1" width="6.45454545454545" customWidth="1"/>
    <col min="2" max="2" width="27.8181818181818" customWidth="1"/>
    <col min="3" max="3" width="8.63636363636364" customWidth="1"/>
    <col min="4" max="4" width="16.2727272727273" customWidth="1"/>
    <col min="5" max="5" width="6.81818181818182" customWidth="1"/>
    <col min="6" max="6" width="11.8181818181818" customWidth="1"/>
    <col min="7" max="7" width="5.18181818181818" customWidth="1"/>
    <col min="8" max="8" width="16" customWidth="1"/>
    <col min="9" max="9" width="9.54545454545454" customWidth="1"/>
    <col min="10" max="10" width="85.3272727272727" customWidth="1"/>
    <col min="11" max="11" width="9.81818181818182" customWidth="1"/>
    <col min="12" max="12" width="5.18181818181818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1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28" spans="1:12">
      <c r="A3" s="1" t="s">
        <v>11</v>
      </c>
      <c r="B3" s="3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A4" s="4"/>
      <c r="B4" s="5" t="s">
        <v>19</v>
      </c>
      <c r="C4" s="5"/>
      <c r="D4" s="5"/>
      <c r="E4" s="5"/>
      <c r="F4" s="5" t="s">
        <v>20</v>
      </c>
      <c r="G4" s="5"/>
      <c r="H4" s="5" t="s">
        <v>21</v>
      </c>
      <c r="I4" s="5" t="s">
        <v>22</v>
      </c>
      <c r="J4" s="5">
        <v>0</v>
      </c>
      <c r="K4" s="5" t="str">
        <f>I4</f>
        <v>无</v>
      </c>
      <c r="L4" s="5"/>
    </row>
    <row r="5" spans="1:12">
      <c r="A5" s="4"/>
      <c r="B5" s="5"/>
      <c r="C5" s="5"/>
      <c r="D5" s="5"/>
      <c r="E5" s="5"/>
      <c r="F5" s="5"/>
      <c r="G5" s="5"/>
      <c r="H5" s="5" t="s">
        <v>23</v>
      </c>
      <c r="I5" s="5" t="s">
        <v>24</v>
      </c>
      <c r="J5" s="5">
        <v>1</v>
      </c>
      <c r="K5" s="5" t="s">
        <v>24</v>
      </c>
      <c r="L5" s="5"/>
    </row>
    <row r="6" spans="1:12">
      <c r="A6" s="4"/>
      <c r="B6" s="5"/>
      <c r="C6" s="5"/>
      <c r="D6" s="5"/>
      <c r="E6" s="5"/>
      <c r="F6" s="5"/>
      <c r="G6" s="5"/>
      <c r="H6" s="5" t="s">
        <v>25</v>
      </c>
      <c r="I6" s="5" t="s">
        <v>26</v>
      </c>
      <c r="J6" s="5">
        <v>2</v>
      </c>
      <c r="K6" s="5" t="str">
        <f>I6</f>
        <v>敏捷</v>
      </c>
      <c r="L6" s="5"/>
    </row>
    <row r="7" spans="1:12">
      <c r="A7" s="4"/>
      <c r="B7" s="5"/>
      <c r="C7" s="5"/>
      <c r="D7" s="5"/>
      <c r="E7" s="5"/>
      <c r="F7" s="5"/>
      <c r="G7" s="5"/>
      <c r="H7" s="5" t="s">
        <v>27</v>
      </c>
      <c r="I7" s="5" t="s">
        <v>28</v>
      </c>
      <c r="J7" s="5">
        <v>3</v>
      </c>
      <c r="K7" s="5" t="str">
        <f>I7</f>
        <v>体质</v>
      </c>
      <c r="L7" s="5"/>
    </row>
    <row r="8" spans="1:12">
      <c r="A8" s="4"/>
      <c r="B8" s="5"/>
      <c r="C8" s="5"/>
      <c r="D8" s="5"/>
      <c r="E8" s="5"/>
      <c r="F8" s="5"/>
      <c r="G8" s="5"/>
      <c r="H8" s="5" t="s">
        <v>29</v>
      </c>
      <c r="I8" s="5" t="s">
        <v>30</v>
      </c>
      <c r="J8" s="5">
        <v>4</v>
      </c>
      <c r="K8" s="5" t="str">
        <f>I8</f>
        <v>智力</v>
      </c>
      <c r="L8" s="5"/>
    </row>
    <row r="9" spans="1:12">
      <c r="A9" s="4"/>
      <c r="B9" s="5"/>
      <c r="C9" s="5"/>
      <c r="D9" s="5"/>
      <c r="E9" s="5"/>
      <c r="F9" s="5"/>
      <c r="G9" s="5"/>
      <c r="H9" s="5" t="s">
        <v>31</v>
      </c>
      <c r="I9" s="5" t="s">
        <v>32</v>
      </c>
      <c r="J9" s="5">
        <v>5</v>
      </c>
      <c r="K9" s="5" t="str">
        <f>I9</f>
        <v>感知</v>
      </c>
      <c r="L9" s="5"/>
    </row>
    <row r="10" spans="1:12">
      <c r="A10" s="4"/>
      <c r="B10" s="5"/>
      <c r="C10" s="5"/>
      <c r="D10" s="5"/>
      <c r="E10" s="5"/>
      <c r="F10" s="5"/>
      <c r="G10" s="5"/>
      <c r="H10" s="5" t="s">
        <v>33</v>
      </c>
      <c r="I10" s="5" t="s">
        <v>34</v>
      </c>
      <c r="J10" s="5">
        <v>6</v>
      </c>
      <c r="K10" s="5" t="str">
        <f>I10</f>
        <v>魅力</v>
      </c>
      <c r="L10" s="5"/>
    </row>
    <row r="11" spans="1:12">
      <c r="A11" s="4"/>
      <c r="B11" s="6" t="s">
        <v>35</v>
      </c>
      <c r="C11" s="5">
        <v>0</v>
      </c>
      <c r="D11" s="5">
        <v>1</v>
      </c>
      <c r="E11" s="6"/>
      <c r="F11" s="6" t="s">
        <v>36</v>
      </c>
      <c r="G11" s="6"/>
      <c r="H11" s="5" t="s">
        <v>21</v>
      </c>
      <c r="I11" s="5" t="s">
        <v>22</v>
      </c>
      <c r="J11" s="5">
        <v>0</v>
      </c>
      <c r="K11" s="5" t="str">
        <f t="shared" ref="K11:K56" si="0">I11</f>
        <v>无</v>
      </c>
      <c r="L11" s="5"/>
    </row>
    <row r="12" spans="1:12">
      <c r="A12" s="4"/>
      <c r="B12" s="6"/>
      <c r="C12" s="5"/>
      <c r="D12" s="5"/>
      <c r="E12" s="6"/>
      <c r="F12" s="6"/>
      <c r="G12" s="6"/>
      <c r="H12" s="5" t="s">
        <v>37</v>
      </c>
      <c r="I12" s="5" t="s">
        <v>38</v>
      </c>
      <c r="J12" s="5">
        <v>1</v>
      </c>
      <c r="K12" s="5" t="str">
        <f t="shared" si="0"/>
        <v>强酸</v>
      </c>
      <c r="L12" s="5"/>
    </row>
    <row r="13" spans="1:12">
      <c r="A13" s="4"/>
      <c r="B13" s="6"/>
      <c r="C13" s="5"/>
      <c r="D13" s="5"/>
      <c r="E13" s="6"/>
      <c r="F13" s="6"/>
      <c r="G13" s="6"/>
      <c r="H13" s="5" t="s">
        <v>39</v>
      </c>
      <c r="I13" s="5" t="s">
        <v>40</v>
      </c>
      <c r="J13" s="5">
        <v>2</v>
      </c>
      <c r="K13" s="5" t="str">
        <f t="shared" si="0"/>
        <v>冰冻</v>
      </c>
      <c r="L13" s="5"/>
    </row>
    <row r="14" spans="1:12">
      <c r="A14" s="4"/>
      <c r="B14" s="6"/>
      <c r="C14" s="5"/>
      <c r="D14" s="5"/>
      <c r="E14" s="6"/>
      <c r="F14" s="6"/>
      <c r="G14" s="6"/>
      <c r="H14" s="5" t="s">
        <v>41</v>
      </c>
      <c r="I14" s="5" t="s">
        <v>42</v>
      </c>
      <c r="J14" s="5">
        <v>3</v>
      </c>
      <c r="K14" s="5" t="str">
        <f t="shared" si="0"/>
        <v>火焰</v>
      </c>
      <c r="L14" s="5"/>
    </row>
    <row r="15" spans="1:12">
      <c r="A15" s="4"/>
      <c r="B15" s="6"/>
      <c r="C15" s="5"/>
      <c r="D15" s="5"/>
      <c r="E15" s="6"/>
      <c r="F15" s="6"/>
      <c r="G15" s="6"/>
      <c r="H15" s="5" t="s">
        <v>43</v>
      </c>
      <c r="I15" s="5" t="s">
        <v>44</v>
      </c>
      <c r="J15" s="5">
        <v>4</v>
      </c>
      <c r="K15" s="5" t="str">
        <f t="shared" si="0"/>
        <v>闪电</v>
      </c>
      <c r="L15" s="5"/>
    </row>
    <row r="16" spans="1:12">
      <c r="A16" s="4"/>
      <c r="B16" s="6"/>
      <c r="C16" s="5"/>
      <c r="D16" s="5"/>
      <c r="E16" s="6"/>
      <c r="F16" s="6"/>
      <c r="G16" s="6"/>
      <c r="H16" s="5" t="s">
        <v>45</v>
      </c>
      <c r="I16" s="5" t="s">
        <v>46</v>
      </c>
      <c r="J16" s="5">
        <v>5</v>
      </c>
      <c r="K16" s="5" t="str">
        <f t="shared" si="0"/>
        <v>毒素</v>
      </c>
      <c r="L16" s="5"/>
    </row>
    <row r="17" spans="1:12">
      <c r="A17" s="4"/>
      <c r="B17" s="6"/>
      <c r="C17" s="5"/>
      <c r="D17" s="5"/>
      <c r="E17" s="6"/>
      <c r="F17" s="6"/>
      <c r="G17" s="6"/>
      <c r="H17" s="5" t="s">
        <v>47</v>
      </c>
      <c r="I17" s="5" t="s">
        <v>48</v>
      </c>
      <c r="J17" s="5">
        <v>6</v>
      </c>
      <c r="K17" s="5" t="str">
        <f t="shared" si="0"/>
        <v>钝击</v>
      </c>
      <c r="L17" s="5"/>
    </row>
    <row r="18" spans="1:12">
      <c r="A18" s="4"/>
      <c r="B18" s="6"/>
      <c r="C18" s="5"/>
      <c r="D18" s="5"/>
      <c r="E18" s="6"/>
      <c r="F18" s="6"/>
      <c r="G18" s="6"/>
      <c r="H18" s="5" t="s">
        <v>49</v>
      </c>
      <c r="I18" s="5" t="s">
        <v>50</v>
      </c>
      <c r="J18" s="5">
        <v>7</v>
      </c>
      <c r="K18" s="5" t="str">
        <f t="shared" si="0"/>
        <v>穿刺</v>
      </c>
      <c r="L18" s="5"/>
    </row>
    <row r="19" spans="1:12">
      <c r="A19" s="4"/>
      <c r="B19" s="6"/>
      <c r="C19" s="5"/>
      <c r="D19" s="5"/>
      <c r="E19" s="6"/>
      <c r="F19" s="6"/>
      <c r="G19" s="6"/>
      <c r="H19" s="5" t="s">
        <v>51</v>
      </c>
      <c r="I19" s="5" t="s">
        <v>52</v>
      </c>
      <c r="J19" s="5">
        <v>8</v>
      </c>
      <c r="K19" s="5" t="str">
        <f t="shared" si="0"/>
        <v>挥砍</v>
      </c>
      <c r="L19" s="5"/>
    </row>
    <row r="20" spans="1:12">
      <c r="A20" s="7"/>
      <c r="B20" s="8" t="s">
        <v>53</v>
      </c>
      <c r="C20" s="9">
        <v>0</v>
      </c>
      <c r="D20" s="9">
        <v>1</v>
      </c>
      <c r="E20" s="8"/>
      <c r="F20" s="8" t="s">
        <v>54</v>
      </c>
      <c r="G20" s="8"/>
      <c r="H20" s="9" t="s">
        <v>55</v>
      </c>
      <c r="I20" s="9" t="s">
        <v>56</v>
      </c>
      <c r="J20" s="9">
        <v>1</v>
      </c>
      <c r="K20" s="9" t="str">
        <f t="shared" si="0"/>
        <v>单手</v>
      </c>
      <c r="L20" s="9"/>
    </row>
    <row r="21" spans="1:12">
      <c r="A21" s="7"/>
      <c r="B21" s="8"/>
      <c r="C21" s="9"/>
      <c r="D21" s="9"/>
      <c r="E21" s="8"/>
      <c r="F21" s="8"/>
      <c r="G21" s="8"/>
      <c r="H21" s="9" t="s">
        <v>57</v>
      </c>
      <c r="I21" s="9" t="s">
        <v>58</v>
      </c>
      <c r="J21" s="9">
        <v>2</v>
      </c>
      <c r="K21" s="9" t="str">
        <f t="shared" si="0"/>
        <v>双手</v>
      </c>
      <c r="L21" s="9"/>
    </row>
    <row r="22" spans="1:12">
      <c r="A22" s="4"/>
      <c r="B22" s="6" t="s">
        <v>59</v>
      </c>
      <c r="C22" s="5">
        <v>1</v>
      </c>
      <c r="D22" s="5">
        <v>1</v>
      </c>
      <c r="E22" s="6"/>
      <c r="F22" s="6" t="s">
        <v>60</v>
      </c>
      <c r="G22" s="6"/>
      <c r="H22" s="5" t="s">
        <v>21</v>
      </c>
      <c r="I22" s="5" t="s">
        <v>22</v>
      </c>
      <c r="J22" s="5">
        <v>0</v>
      </c>
      <c r="K22" s="5" t="str">
        <f t="shared" si="0"/>
        <v>无</v>
      </c>
      <c r="L22" s="5"/>
    </row>
    <row r="23" spans="1:12">
      <c r="A23" s="4"/>
      <c r="B23" s="6"/>
      <c r="C23" s="5"/>
      <c r="D23" s="5"/>
      <c r="E23" s="6"/>
      <c r="F23" s="6"/>
      <c r="G23" s="6"/>
      <c r="H23" s="5" t="s">
        <v>61</v>
      </c>
      <c r="I23" s="5" t="s">
        <v>62</v>
      </c>
      <c r="J23" s="5">
        <v>1</v>
      </c>
      <c r="K23" s="5" t="str">
        <f t="shared" si="0"/>
        <v>无甲</v>
      </c>
      <c r="L23" s="5"/>
    </row>
    <row r="24" spans="1:12">
      <c r="A24" s="4"/>
      <c r="B24" s="6"/>
      <c r="C24" s="5"/>
      <c r="D24" s="5"/>
      <c r="E24" s="6"/>
      <c r="F24" s="6"/>
      <c r="G24" s="6"/>
      <c r="H24" s="5" t="s">
        <v>63</v>
      </c>
      <c r="I24" s="5" t="s">
        <v>64</v>
      </c>
      <c r="J24" s="5">
        <v>2</v>
      </c>
      <c r="K24" s="5" t="str">
        <f t="shared" si="0"/>
        <v>轻甲</v>
      </c>
      <c r="L24" s="5"/>
    </row>
    <row r="25" spans="1:12">
      <c r="A25" s="4"/>
      <c r="B25" s="6"/>
      <c r="C25" s="5"/>
      <c r="D25" s="5"/>
      <c r="E25" s="6"/>
      <c r="F25" s="6"/>
      <c r="G25" s="6"/>
      <c r="H25" s="5" t="s">
        <v>65</v>
      </c>
      <c r="I25" s="5" t="s">
        <v>66</v>
      </c>
      <c r="J25" s="5">
        <v>4</v>
      </c>
      <c r="K25" s="5" t="str">
        <f t="shared" si="0"/>
        <v>中甲</v>
      </c>
      <c r="L25" s="5"/>
    </row>
    <row r="26" spans="1:12">
      <c r="A26" s="4"/>
      <c r="B26" s="6"/>
      <c r="C26" s="5"/>
      <c r="D26" s="5"/>
      <c r="E26" s="6"/>
      <c r="F26" s="6"/>
      <c r="G26" s="6"/>
      <c r="H26" s="5" t="s">
        <v>67</v>
      </c>
      <c r="I26" s="5" t="s">
        <v>68</v>
      </c>
      <c r="J26" s="5">
        <v>8</v>
      </c>
      <c r="K26" s="5" t="str">
        <f t="shared" si="0"/>
        <v>重甲</v>
      </c>
      <c r="L26" s="5"/>
    </row>
    <row r="27" spans="1:12">
      <c r="A27" s="4"/>
      <c r="B27" s="6"/>
      <c r="C27" s="5"/>
      <c r="D27" s="5"/>
      <c r="E27" s="6"/>
      <c r="F27" s="6"/>
      <c r="G27" s="6"/>
      <c r="H27" s="5" t="s">
        <v>69</v>
      </c>
      <c r="I27" s="5" t="s">
        <v>70</v>
      </c>
      <c r="J27" s="5">
        <v>16</v>
      </c>
      <c r="K27" s="5" t="str">
        <f t="shared" si="0"/>
        <v>盾牌</v>
      </c>
      <c r="L27" s="5"/>
    </row>
    <row r="28" spans="1:12">
      <c r="A28" s="4"/>
      <c r="B28" s="6"/>
      <c r="C28" s="5"/>
      <c r="D28" s="5"/>
      <c r="E28" s="6"/>
      <c r="F28" s="6"/>
      <c r="G28" s="6"/>
      <c r="H28" s="5" t="s">
        <v>71</v>
      </c>
      <c r="I28" s="5" t="s">
        <v>72</v>
      </c>
      <c r="J28" s="5">
        <v>32</v>
      </c>
      <c r="K28" s="5" t="str">
        <f t="shared" si="0"/>
        <v>短棒</v>
      </c>
      <c r="L28" s="5"/>
    </row>
    <row r="29" spans="1:12">
      <c r="A29" s="4"/>
      <c r="B29" s="6"/>
      <c r="C29" s="5"/>
      <c r="D29" s="5"/>
      <c r="E29" s="6"/>
      <c r="F29" s="6"/>
      <c r="G29" s="6"/>
      <c r="H29" s="5" t="s">
        <v>73</v>
      </c>
      <c r="I29" s="5" t="s">
        <v>74</v>
      </c>
      <c r="J29" s="5">
        <v>64</v>
      </c>
      <c r="K29" s="5" t="str">
        <f t="shared" si="0"/>
        <v>匕首</v>
      </c>
      <c r="L29" s="5"/>
    </row>
    <row r="30" spans="1:12">
      <c r="A30" s="4"/>
      <c r="B30" s="6"/>
      <c r="C30" s="5"/>
      <c r="D30" s="5"/>
      <c r="E30" s="6"/>
      <c r="F30" s="6"/>
      <c r="G30" s="6"/>
      <c r="H30" s="5" t="s">
        <v>75</v>
      </c>
      <c r="I30" s="5" t="s">
        <v>76</v>
      </c>
      <c r="J30" s="5">
        <v>128</v>
      </c>
      <c r="K30" s="5" t="str">
        <f t="shared" si="0"/>
        <v>巨棒</v>
      </c>
      <c r="L30" s="5"/>
    </row>
    <row r="31" spans="1:12">
      <c r="A31" s="4"/>
      <c r="B31" s="6"/>
      <c r="C31" s="5"/>
      <c r="D31" s="5"/>
      <c r="E31" s="6"/>
      <c r="F31" s="6"/>
      <c r="G31" s="6"/>
      <c r="H31" s="5" t="s">
        <v>77</v>
      </c>
      <c r="I31" s="5" t="s">
        <v>78</v>
      </c>
      <c r="J31" s="5">
        <v>256</v>
      </c>
      <c r="K31" s="5" t="str">
        <f t="shared" si="0"/>
        <v>手斧</v>
      </c>
      <c r="L31" s="5"/>
    </row>
    <row r="32" spans="1:12">
      <c r="A32" s="4"/>
      <c r="B32" s="6"/>
      <c r="C32" s="5"/>
      <c r="D32" s="5"/>
      <c r="E32" s="6"/>
      <c r="F32" s="6"/>
      <c r="G32" s="6"/>
      <c r="H32" s="5" t="s">
        <v>79</v>
      </c>
      <c r="I32" s="5" t="s">
        <v>80</v>
      </c>
      <c r="J32" s="5">
        <v>512</v>
      </c>
      <c r="K32" s="5" t="str">
        <f t="shared" si="0"/>
        <v>标枪</v>
      </c>
      <c r="L32" s="5"/>
    </row>
    <row r="33" spans="1:12">
      <c r="A33" s="4"/>
      <c r="B33" s="6"/>
      <c r="C33" s="5"/>
      <c r="D33" s="5"/>
      <c r="E33" s="6"/>
      <c r="F33" s="6"/>
      <c r="G33" s="6"/>
      <c r="H33" s="5" t="s">
        <v>81</v>
      </c>
      <c r="I33" s="5" t="s">
        <v>82</v>
      </c>
      <c r="J33" s="5">
        <v>1024</v>
      </c>
      <c r="K33" s="5" t="str">
        <f t="shared" si="0"/>
        <v>长棍</v>
      </c>
      <c r="L33" s="5"/>
    </row>
    <row r="34" spans="1:12">
      <c r="A34" s="4"/>
      <c r="B34" s="6"/>
      <c r="C34" s="5"/>
      <c r="D34" s="5"/>
      <c r="E34" s="6"/>
      <c r="F34" s="6"/>
      <c r="G34" s="6"/>
      <c r="H34" s="5" t="s">
        <v>83</v>
      </c>
      <c r="I34" s="5" t="s">
        <v>84</v>
      </c>
      <c r="J34" s="5">
        <v>2048</v>
      </c>
      <c r="K34" s="5" t="str">
        <f t="shared" si="0"/>
        <v>镰刀</v>
      </c>
      <c r="L34" s="5"/>
    </row>
    <row r="35" spans="1:12">
      <c r="A35" s="4"/>
      <c r="B35" s="6"/>
      <c r="C35" s="5"/>
      <c r="D35" s="5"/>
      <c r="E35" s="6"/>
      <c r="F35" s="6"/>
      <c r="G35" s="6"/>
      <c r="H35" s="5" t="s">
        <v>85</v>
      </c>
      <c r="I35" s="5" t="s">
        <v>86</v>
      </c>
      <c r="J35" s="5">
        <v>4096</v>
      </c>
      <c r="K35" s="5" t="str">
        <f t="shared" si="0"/>
        <v>矛</v>
      </c>
      <c r="L35" s="5"/>
    </row>
    <row r="36" spans="1:12">
      <c r="A36" s="4"/>
      <c r="B36" s="6"/>
      <c r="C36" s="5"/>
      <c r="D36" s="5"/>
      <c r="E36" s="6"/>
      <c r="F36" s="6"/>
      <c r="G36" s="6"/>
      <c r="H36" s="5" t="s">
        <v>87</v>
      </c>
      <c r="I36" s="5" t="s">
        <v>88</v>
      </c>
      <c r="J36" s="5">
        <v>8192</v>
      </c>
      <c r="K36" s="5" t="str">
        <f t="shared" si="0"/>
        <v>轻弩</v>
      </c>
      <c r="L36" s="5"/>
    </row>
    <row r="37" spans="1:12">
      <c r="A37" s="4"/>
      <c r="B37" s="6"/>
      <c r="C37" s="5"/>
      <c r="D37" s="5"/>
      <c r="E37" s="6"/>
      <c r="F37" s="6"/>
      <c r="G37" s="6"/>
      <c r="H37" s="5" t="s">
        <v>89</v>
      </c>
      <c r="I37" s="5" t="s">
        <v>90</v>
      </c>
      <c r="J37" s="5">
        <v>16384</v>
      </c>
      <c r="K37" s="5" t="str">
        <f t="shared" si="0"/>
        <v>飞镖</v>
      </c>
      <c r="L37" s="5"/>
    </row>
    <row r="38" spans="1:12">
      <c r="A38" s="4"/>
      <c r="B38" s="6"/>
      <c r="C38" s="5"/>
      <c r="D38" s="5"/>
      <c r="E38" s="6"/>
      <c r="F38" s="6"/>
      <c r="G38" s="6"/>
      <c r="H38" s="5" t="s">
        <v>91</v>
      </c>
      <c r="I38" s="5" t="s">
        <v>92</v>
      </c>
      <c r="J38" s="5">
        <v>32768</v>
      </c>
      <c r="K38" s="5" t="str">
        <f t="shared" si="0"/>
        <v>短弓</v>
      </c>
      <c r="L38" s="5"/>
    </row>
    <row r="39" spans="1:12">
      <c r="A39" s="4"/>
      <c r="B39" s="6"/>
      <c r="C39" s="5"/>
      <c r="D39" s="5"/>
      <c r="E39" s="6"/>
      <c r="F39" s="6"/>
      <c r="G39" s="6"/>
      <c r="H39" s="5" t="s">
        <v>93</v>
      </c>
      <c r="I39" s="5" t="s">
        <v>94</v>
      </c>
      <c r="J39" s="5">
        <v>65536</v>
      </c>
      <c r="K39" s="5" t="str">
        <f t="shared" si="0"/>
        <v>战斧</v>
      </c>
      <c r="L39" s="5"/>
    </row>
    <row r="40" spans="1:12">
      <c r="A40" s="4"/>
      <c r="B40" s="6"/>
      <c r="C40" s="5"/>
      <c r="D40" s="5"/>
      <c r="E40" s="6"/>
      <c r="F40" s="6"/>
      <c r="G40" s="6"/>
      <c r="H40" s="5" t="s">
        <v>95</v>
      </c>
      <c r="I40" s="5" t="s">
        <v>96</v>
      </c>
      <c r="J40" s="5">
        <v>131072</v>
      </c>
      <c r="K40" s="5" t="str">
        <f t="shared" si="0"/>
        <v>链枷</v>
      </c>
      <c r="L40" s="5"/>
    </row>
    <row r="41" spans="1:12">
      <c r="A41" s="4"/>
      <c r="B41" s="6"/>
      <c r="C41" s="5"/>
      <c r="D41" s="5"/>
      <c r="E41" s="6"/>
      <c r="F41" s="6"/>
      <c r="G41" s="6"/>
      <c r="H41" s="5" t="s">
        <v>97</v>
      </c>
      <c r="I41" s="5" t="s">
        <v>98</v>
      </c>
      <c r="J41" s="5">
        <v>262144</v>
      </c>
      <c r="K41" s="5" t="str">
        <f t="shared" si="0"/>
        <v>巨斧</v>
      </c>
      <c r="L41" s="5"/>
    </row>
    <row r="42" spans="1:12">
      <c r="A42" s="4"/>
      <c r="B42" s="6"/>
      <c r="C42" s="5"/>
      <c r="D42" s="5"/>
      <c r="E42" s="6"/>
      <c r="F42" s="6"/>
      <c r="G42" s="6"/>
      <c r="H42" s="5" t="s">
        <v>99</v>
      </c>
      <c r="I42" s="5" t="s">
        <v>100</v>
      </c>
      <c r="J42" s="5">
        <v>524288</v>
      </c>
      <c r="K42" s="5" t="str">
        <f t="shared" si="0"/>
        <v>巨剑</v>
      </c>
      <c r="L42" s="5"/>
    </row>
    <row r="43" spans="1:12">
      <c r="A43" s="4"/>
      <c r="B43" s="6"/>
      <c r="C43" s="5"/>
      <c r="D43" s="5"/>
      <c r="E43" s="6"/>
      <c r="F43" s="6"/>
      <c r="G43" s="6"/>
      <c r="H43" s="5" t="s">
        <v>101</v>
      </c>
      <c r="I43" s="5" t="s">
        <v>102</v>
      </c>
      <c r="J43" s="5">
        <v>1048576</v>
      </c>
      <c r="K43" s="5" t="str">
        <f t="shared" si="0"/>
        <v>长剑</v>
      </c>
      <c r="L43" s="5"/>
    </row>
    <row r="44" spans="1:12">
      <c r="A44" s="4"/>
      <c r="B44" s="6"/>
      <c r="C44" s="5"/>
      <c r="D44" s="5"/>
      <c r="E44" s="6"/>
      <c r="F44" s="6"/>
      <c r="G44" s="6"/>
      <c r="H44" s="5" t="s">
        <v>103</v>
      </c>
      <c r="I44" s="5" t="s">
        <v>104</v>
      </c>
      <c r="J44" s="5">
        <v>2097152</v>
      </c>
      <c r="K44" s="5" t="str">
        <f t="shared" si="0"/>
        <v>巨锤</v>
      </c>
      <c r="L44" s="5"/>
    </row>
    <row r="45" spans="1:12">
      <c r="A45" s="4"/>
      <c r="B45" s="6"/>
      <c r="C45" s="5"/>
      <c r="D45" s="5"/>
      <c r="E45" s="6"/>
      <c r="F45" s="6"/>
      <c r="G45" s="6"/>
      <c r="H45" s="5" t="s">
        <v>105</v>
      </c>
      <c r="I45" s="5" t="s">
        <v>106</v>
      </c>
      <c r="J45" s="5">
        <v>4194304</v>
      </c>
      <c r="K45" s="5" t="str">
        <f t="shared" si="0"/>
        <v>长矛</v>
      </c>
      <c r="L45" s="5"/>
    </row>
    <row r="46" spans="1:12">
      <c r="A46" s="4"/>
      <c r="B46" s="6"/>
      <c r="C46" s="5"/>
      <c r="D46" s="5"/>
      <c r="E46" s="6"/>
      <c r="F46" s="6"/>
      <c r="G46" s="6"/>
      <c r="H46" s="5" t="s">
        <v>107</v>
      </c>
      <c r="I46" s="5" t="s">
        <v>108</v>
      </c>
      <c r="J46" s="5">
        <v>8388608</v>
      </c>
      <c r="K46" s="5" t="str">
        <f t="shared" si="0"/>
        <v>刺剑</v>
      </c>
      <c r="L46" s="5"/>
    </row>
    <row r="47" spans="1:12">
      <c r="A47" s="4"/>
      <c r="B47" s="6"/>
      <c r="C47" s="5"/>
      <c r="D47" s="5"/>
      <c r="E47" s="6"/>
      <c r="F47" s="6"/>
      <c r="G47" s="6"/>
      <c r="H47" s="5" t="s">
        <v>109</v>
      </c>
      <c r="I47" s="5" t="s">
        <v>110</v>
      </c>
      <c r="J47" s="5">
        <v>16777216</v>
      </c>
      <c r="K47" s="5" t="str">
        <f t="shared" si="0"/>
        <v>弯刀</v>
      </c>
      <c r="L47" s="5"/>
    </row>
    <row r="48" spans="1:12">
      <c r="A48" s="4"/>
      <c r="B48" s="6"/>
      <c r="C48" s="5"/>
      <c r="D48" s="5"/>
      <c r="E48" s="6"/>
      <c r="F48" s="6"/>
      <c r="G48" s="6"/>
      <c r="H48" s="5" t="s">
        <v>111</v>
      </c>
      <c r="I48" s="5" t="s">
        <v>112</v>
      </c>
      <c r="J48" s="5">
        <v>33554432</v>
      </c>
      <c r="K48" s="5" t="str">
        <f t="shared" si="0"/>
        <v>短剑</v>
      </c>
      <c r="L48" s="5"/>
    </row>
    <row r="49" spans="1:12">
      <c r="A49" s="4"/>
      <c r="B49" s="6"/>
      <c r="C49" s="5"/>
      <c r="D49" s="5"/>
      <c r="E49" s="6"/>
      <c r="F49" s="6"/>
      <c r="G49" s="6"/>
      <c r="H49" s="5" t="s">
        <v>113</v>
      </c>
      <c r="I49" s="5" t="s">
        <v>114</v>
      </c>
      <c r="J49" s="5">
        <v>67108864</v>
      </c>
      <c r="K49" s="5" t="str">
        <f t="shared" si="0"/>
        <v>战锤</v>
      </c>
      <c r="L49" s="5"/>
    </row>
    <row r="50" spans="1:12">
      <c r="A50" s="4"/>
      <c r="B50" s="6"/>
      <c r="C50" s="5"/>
      <c r="D50" s="5"/>
      <c r="E50" s="6"/>
      <c r="F50" s="6"/>
      <c r="G50" s="6"/>
      <c r="H50" s="5" t="s">
        <v>115</v>
      </c>
      <c r="I50" s="5" t="s">
        <v>116</v>
      </c>
      <c r="J50" s="5">
        <v>134217728</v>
      </c>
      <c r="K50" s="5" t="str">
        <f t="shared" si="0"/>
        <v>手弩</v>
      </c>
      <c r="L50" s="5"/>
    </row>
    <row r="51" spans="1:12">
      <c r="A51" s="4"/>
      <c r="B51" s="6"/>
      <c r="C51" s="5"/>
      <c r="D51" s="5"/>
      <c r="E51" s="6"/>
      <c r="F51" s="6"/>
      <c r="G51" s="6"/>
      <c r="H51" s="5" t="s">
        <v>117</v>
      </c>
      <c r="I51" s="5" t="s">
        <v>118</v>
      </c>
      <c r="J51" s="5">
        <v>268435456</v>
      </c>
      <c r="K51" s="5" t="str">
        <f t="shared" si="0"/>
        <v>重弩</v>
      </c>
      <c r="L51" s="5"/>
    </row>
    <row r="52" spans="1:12">
      <c r="A52" s="4"/>
      <c r="B52" s="6"/>
      <c r="C52" s="5"/>
      <c r="D52" s="5"/>
      <c r="E52" s="6"/>
      <c r="F52" s="6"/>
      <c r="G52" s="6"/>
      <c r="H52" s="5" t="s">
        <v>119</v>
      </c>
      <c r="I52" s="5" t="s">
        <v>120</v>
      </c>
      <c r="J52" s="5">
        <v>536870912</v>
      </c>
      <c r="K52" s="5" t="str">
        <f t="shared" si="0"/>
        <v>长弓</v>
      </c>
      <c r="L52" s="5"/>
    </row>
    <row r="53" spans="1:12">
      <c r="A53" s="4"/>
      <c r="B53" s="6"/>
      <c r="C53" s="5"/>
      <c r="D53" s="5"/>
      <c r="E53" s="6"/>
      <c r="F53" s="6"/>
      <c r="G53" s="6"/>
      <c r="H53" s="5" t="s">
        <v>121</v>
      </c>
      <c r="I53" s="5" t="s">
        <v>122</v>
      </c>
      <c r="J53" s="5" t="s">
        <v>123</v>
      </c>
      <c r="K53" s="5" t="str">
        <f t="shared" si="0"/>
        <v>所有护甲</v>
      </c>
      <c r="L53" s="5"/>
    </row>
    <row r="54" spans="1:12">
      <c r="A54" s="4"/>
      <c r="B54" s="5"/>
      <c r="C54" s="5"/>
      <c r="D54" s="5"/>
      <c r="E54" s="5"/>
      <c r="F54" s="5"/>
      <c r="G54" s="5"/>
      <c r="H54" s="5" t="s">
        <v>124</v>
      </c>
      <c r="I54" s="5" t="s">
        <v>125</v>
      </c>
      <c r="J54" s="10" t="s">
        <v>126</v>
      </c>
      <c r="K54" s="5" t="str">
        <f t="shared" si="0"/>
        <v>简易近战</v>
      </c>
      <c r="L54" s="5"/>
    </row>
    <row r="55" spans="1:12">
      <c r="A55" s="4"/>
      <c r="B55" s="5"/>
      <c r="C55" s="5"/>
      <c r="D55" s="5"/>
      <c r="E55" s="5"/>
      <c r="F55" s="5"/>
      <c r="G55" s="5"/>
      <c r="H55" s="5" t="s">
        <v>127</v>
      </c>
      <c r="I55" s="5" t="s">
        <v>128</v>
      </c>
      <c r="J55" s="10" t="s">
        <v>129</v>
      </c>
      <c r="K55" s="5" t="str">
        <f t="shared" si="0"/>
        <v>简易远程</v>
      </c>
      <c r="L55" s="5"/>
    </row>
    <row r="56" spans="1:12">
      <c r="A56" s="4"/>
      <c r="B56" s="5"/>
      <c r="C56" s="5"/>
      <c r="D56" s="5"/>
      <c r="E56" s="5"/>
      <c r="F56" s="5"/>
      <c r="G56" s="5"/>
      <c r="H56" s="5" t="s">
        <v>130</v>
      </c>
      <c r="I56" s="5" t="s">
        <v>131</v>
      </c>
      <c r="J56" s="10" t="s">
        <v>132</v>
      </c>
      <c r="K56" s="5" t="str">
        <f t="shared" si="0"/>
        <v>军用近战</v>
      </c>
      <c r="L56" s="5"/>
    </row>
    <row r="57" spans="1:12">
      <c r="A57" s="4"/>
      <c r="B57" s="5"/>
      <c r="C57" s="5"/>
      <c r="D57" s="5"/>
      <c r="E57" s="5"/>
      <c r="F57" s="5"/>
      <c r="G57" s="5"/>
      <c r="H57" s="5" t="s">
        <v>133</v>
      </c>
      <c r="I57" s="5" t="s">
        <v>134</v>
      </c>
      <c r="J57" s="10" t="s">
        <v>135</v>
      </c>
      <c r="K57" s="5" t="str">
        <f t="shared" ref="K57:K87" si="1">I57</f>
        <v>军用远程</v>
      </c>
      <c r="L57" s="5"/>
    </row>
    <row r="58" spans="1:12">
      <c r="A58" s="4"/>
      <c r="B58" s="5"/>
      <c r="C58" s="5"/>
      <c r="D58" s="5"/>
      <c r="E58" s="5"/>
      <c r="F58" s="5"/>
      <c r="G58" s="5"/>
      <c r="H58" s="5" t="s">
        <v>136</v>
      </c>
      <c r="I58" s="5" t="s">
        <v>137</v>
      </c>
      <c r="J58" s="5" t="s">
        <v>138</v>
      </c>
      <c r="K58" s="5" t="str">
        <f t="shared" si="1"/>
        <v>简易武器</v>
      </c>
      <c r="L58" s="5"/>
    </row>
    <row r="59" spans="1:12">
      <c r="A59" s="4"/>
      <c r="B59" s="5"/>
      <c r="C59" s="5"/>
      <c r="D59" s="5"/>
      <c r="E59" s="5"/>
      <c r="F59" s="5"/>
      <c r="G59" s="5"/>
      <c r="H59" s="5" t="s">
        <v>139</v>
      </c>
      <c r="I59" s="5" t="s">
        <v>140</v>
      </c>
      <c r="J59" s="5" t="s">
        <v>141</v>
      </c>
      <c r="K59" s="5" t="str">
        <f t="shared" si="1"/>
        <v>军用武器</v>
      </c>
      <c r="L59" s="5"/>
    </row>
    <row r="60" spans="1:12">
      <c r="A60" s="4"/>
      <c r="B60" s="8" t="s">
        <v>142</v>
      </c>
      <c r="C60" s="8">
        <v>0</v>
      </c>
      <c r="D60" s="8">
        <v>1</v>
      </c>
      <c r="E60" s="8"/>
      <c r="F60" s="8" t="s">
        <v>143</v>
      </c>
      <c r="G60" s="8"/>
      <c r="H60" s="8" t="s">
        <v>144</v>
      </c>
      <c r="I60" s="8" t="s">
        <v>145</v>
      </c>
      <c r="J60" s="8">
        <v>2</v>
      </c>
      <c r="K60" s="8" t="str">
        <f t="shared" si="1"/>
        <v>小型</v>
      </c>
      <c r="L60" s="8"/>
    </row>
    <row r="61" spans="1:12">
      <c r="A61" s="4"/>
      <c r="B61" s="8"/>
      <c r="C61" s="8"/>
      <c r="D61" s="8"/>
      <c r="E61" s="8"/>
      <c r="F61" s="8"/>
      <c r="G61" s="8"/>
      <c r="H61" s="8" t="s">
        <v>146</v>
      </c>
      <c r="I61" s="8" t="s">
        <v>147</v>
      </c>
      <c r="J61" s="8">
        <v>4</v>
      </c>
      <c r="K61" s="8" t="str">
        <f t="shared" si="1"/>
        <v>中型</v>
      </c>
      <c r="L61" s="8"/>
    </row>
    <row r="62" spans="1:12">
      <c r="A62" s="4"/>
      <c r="B62" s="8"/>
      <c r="C62" s="8"/>
      <c r="D62" s="8"/>
      <c r="E62" s="8"/>
      <c r="F62" s="8"/>
      <c r="G62" s="8"/>
      <c r="H62" s="8" t="s">
        <v>148</v>
      </c>
      <c r="I62" s="8" t="s">
        <v>149</v>
      </c>
      <c r="J62" s="8">
        <v>9</v>
      </c>
      <c r="K62" s="8" t="str">
        <f t="shared" si="1"/>
        <v>大型</v>
      </c>
      <c r="L62" s="8"/>
    </row>
    <row r="63" spans="1:12">
      <c r="A63" s="4"/>
      <c r="B63" s="8"/>
      <c r="C63" s="8"/>
      <c r="D63" s="8"/>
      <c r="E63" s="8"/>
      <c r="F63" s="8"/>
      <c r="G63" s="8"/>
      <c r="H63" s="8" t="s">
        <v>150</v>
      </c>
      <c r="I63" s="8" t="s">
        <v>151</v>
      </c>
      <c r="J63" s="8">
        <v>36</v>
      </c>
      <c r="K63" s="8" t="str">
        <f t="shared" si="1"/>
        <v>巨型</v>
      </c>
      <c r="L63" s="8"/>
    </row>
    <row r="64" spans="1:12">
      <c r="A64" s="4"/>
      <c r="B64" s="6" t="s">
        <v>152</v>
      </c>
      <c r="C64" s="6">
        <v>1</v>
      </c>
      <c r="D64" s="6">
        <v>1</v>
      </c>
      <c r="E64" s="6"/>
      <c r="F64" s="6" t="s">
        <v>153</v>
      </c>
      <c r="G64" s="6"/>
      <c r="H64" s="6" t="s">
        <v>154</v>
      </c>
      <c r="I64" s="6" t="s">
        <v>155</v>
      </c>
      <c r="J64" s="5">
        <v>1</v>
      </c>
      <c r="K64" s="6" t="str">
        <f t="shared" si="1"/>
        <v>异怪</v>
      </c>
      <c r="L64" s="6"/>
    </row>
    <row r="65" spans="1:12">
      <c r="A65" s="4"/>
      <c r="B65" s="6"/>
      <c r="C65" s="6"/>
      <c r="D65" s="6"/>
      <c r="E65" s="6"/>
      <c r="F65" s="6"/>
      <c r="G65" s="6"/>
      <c r="H65" s="6" t="s">
        <v>156</v>
      </c>
      <c r="I65" s="6" t="s">
        <v>157</v>
      </c>
      <c r="J65" s="5">
        <v>2</v>
      </c>
      <c r="K65" s="6" t="str">
        <f t="shared" si="1"/>
        <v>野兽</v>
      </c>
      <c r="L65" s="6"/>
    </row>
    <row r="66" spans="1:12">
      <c r="A66" s="4"/>
      <c r="B66" s="6"/>
      <c r="C66" s="6"/>
      <c r="D66" s="6"/>
      <c r="E66" s="6"/>
      <c r="F66" s="6"/>
      <c r="G66" s="6"/>
      <c r="H66" s="6" t="s">
        <v>158</v>
      </c>
      <c r="I66" s="6" t="s">
        <v>159</v>
      </c>
      <c r="J66" s="5">
        <v>4</v>
      </c>
      <c r="K66" s="6" t="str">
        <f t="shared" si="1"/>
        <v>天界生物</v>
      </c>
      <c r="L66" s="6"/>
    </row>
    <row r="67" spans="1:12">
      <c r="A67" s="4"/>
      <c r="B67" s="6"/>
      <c r="C67" s="6"/>
      <c r="D67" s="6"/>
      <c r="E67" s="6"/>
      <c r="F67" s="6"/>
      <c r="G67" s="6"/>
      <c r="H67" s="6" t="s">
        <v>160</v>
      </c>
      <c r="I67" s="6" t="s">
        <v>161</v>
      </c>
      <c r="J67" s="5">
        <v>8</v>
      </c>
      <c r="K67" s="6" t="str">
        <f t="shared" si="1"/>
        <v>构造生物</v>
      </c>
      <c r="L67" s="6"/>
    </row>
    <row r="68" spans="1:12">
      <c r="A68" s="4"/>
      <c r="B68" s="6"/>
      <c r="C68" s="6"/>
      <c r="D68" s="6"/>
      <c r="E68" s="6"/>
      <c r="F68" s="6"/>
      <c r="G68" s="6"/>
      <c r="H68" s="6" t="s">
        <v>162</v>
      </c>
      <c r="I68" s="6" t="s">
        <v>163</v>
      </c>
      <c r="J68" s="5">
        <v>16</v>
      </c>
      <c r="K68" s="6" t="str">
        <f t="shared" si="1"/>
        <v>龙类</v>
      </c>
      <c r="L68" s="6"/>
    </row>
    <row r="69" spans="1:12">
      <c r="A69" s="4"/>
      <c r="B69" s="6"/>
      <c r="C69" s="6"/>
      <c r="D69" s="6"/>
      <c r="E69" s="6"/>
      <c r="F69" s="6"/>
      <c r="G69" s="6"/>
      <c r="H69" s="6" t="s">
        <v>164</v>
      </c>
      <c r="I69" s="6" t="s">
        <v>165</v>
      </c>
      <c r="J69" s="5">
        <v>32</v>
      </c>
      <c r="K69" s="6" t="str">
        <f t="shared" si="1"/>
        <v>元素生物</v>
      </c>
      <c r="L69" s="6"/>
    </row>
    <row r="70" spans="1:12">
      <c r="A70" s="4"/>
      <c r="B70" s="6"/>
      <c r="C70" s="6"/>
      <c r="D70" s="6"/>
      <c r="E70" s="6"/>
      <c r="F70" s="6"/>
      <c r="G70" s="6"/>
      <c r="H70" s="6" t="s">
        <v>166</v>
      </c>
      <c r="I70" s="6" t="s">
        <v>167</v>
      </c>
      <c r="J70" s="5">
        <v>64</v>
      </c>
      <c r="K70" s="6" t="str">
        <f t="shared" si="1"/>
        <v>精类</v>
      </c>
      <c r="L70" s="6"/>
    </row>
    <row r="71" spans="1:12">
      <c r="A71" s="4"/>
      <c r="B71" s="6"/>
      <c r="C71" s="6"/>
      <c r="D71" s="6"/>
      <c r="E71" s="6"/>
      <c r="F71" s="6"/>
      <c r="G71" s="6"/>
      <c r="H71" s="6" t="s">
        <v>168</v>
      </c>
      <c r="I71" s="6" t="s">
        <v>169</v>
      </c>
      <c r="J71" s="5">
        <v>128</v>
      </c>
      <c r="K71" s="6" t="str">
        <f t="shared" si="1"/>
        <v>邪魔</v>
      </c>
      <c r="L71" s="6"/>
    </row>
    <row r="72" spans="1:12">
      <c r="A72" s="4"/>
      <c r="B72" s="6"/>
      <c r="C72" s="6"/>
      <c r="D72" s="6"/>
      <c r="E72" s="6"/>
      <c r="F72" s="6"/>
      <c r="G72" s="6"/>
      <c r="H72" s="6" t="s">
        <v>170</v>
      </c>
      <c r="I72" s="6" t="s">
        <v>171</v>
      </c>
      <c r="J72" s="5">
        <v>256</v>
      </c>
      <c r="K72" s="6" t="str">
        <f t="shared" si="1"/>
        <v>巨人</v>
      </c>
      <c r="L72" s="6"/>
    </row>
    <row r="73" spans="1:12">
      <c r="A73" s="4"/>
      <c r="B73" s="6"/>
      <c r="C73" s="6"/>
      <c r="D73" s="6"/>
      <c r="E73" s="6"/>
      <c r="F73" s="6"/>
      <c r="G73" s="6"/>
      <c r="H73" s="6" t="s">
        <v>172</v>
      </c>
      <c r="I73" s="6" t="s">
        <v>173</v>
      </c>
      <c r="J73" s="5">
        <v>512</v>
      </c>
      <c r="K73" s="6" t="str">
        <f t="shared" si="1"/>
        <v>类人</v>
      </c>
      <c r="L73" s="6"/>
    </row>
    <row r="74" spans="1:12">
      <c r="A74" s="4"/>
      <c r="B74" s="6"/>
      <c r="C74" s="6"/>
      <c r="D74" s="6"/>
      <c r="E74" s="6"/>
      <c r="F74" s="6"/>
      <c r="G74" s="6"/>
      <c r="H74" s="6" t="s">
        <v>174</v>
      </c>
      <c r="I74" s="6" t="s">
        <v>175</v>
      </c>
      <c r="J74" s="5">
        <v>1024</v>
      </c>
      <c r="K74" s="6" t="str">
        <f t="shared" si="1"/>
        <v>怪兽</v>
      </c>
      <c r="L74" s="6"/>
    </row>
    <row r="75" spans="1:12">
      <c r="A75" s="4"/>
      <c r="B75" s="6"/>
      <c r="C75" s="6"/>
      <c r="D75" s="6"/>
      <c r="E75" s="6"/>
      <c r="F75" s="6"/>
      <c r="G75" s="6"/>
      <c r="H75" s="6" t="s">
        <v>176</v>
      </c>
      <c r="I75" s="6" t="s">
        <v>177</v>
      </c>
      <c r="J75" s="5">
        <v>2048</v>
      </c>
      <c r="K75" s="6" t="str">
        <f t="shared" si="1"/>
        <v>泥怪</v>
      </c>
      <c r="L75" s="6"/>
    </row>
    <row r="76" spans="1:12">
      <c r="A76" s="4"/>
      <c r="B76" s="6"/>
      <c r="C76" s="6"/>
      <c r="D76" s="6"/>
      <c r="E76" s="6"/>
      <c r="F76" s="6"/>
      <c r="G76" s="6"/>
      <c r="H76" s="6" t="s">
        <v>178</v>
      </c>
      <c r="I76" s="6" t="s">
        <v>179</v>
      </c>
      <c r="J76" s="5">
        <v>4096</v>
      </c>
      <c r="K76" s="6" t="str">
        <f t="shared" si="1"/>
        <v>植物</v>
      </c>
      <c r="L76" s="6"/>
    </row>
    <row r="77" spans="1:12">
      <c r="A77" s="4"/>
      <c r="B77" s="6"/>
      <c r="C77" s="6"/>
      <c r="D77" s="6"/>
      <c r="E77" s="6"/>
      <c r="F77" s="6"/>
      <c r="G77" s="6"/>
      <c r="H77" s="6" t="s">
        <v>180</v>
      </c>
      <c r="I77" s="6" t="s">
        <v>181</v>
      </c>
      <c r="J77" s="6">
        <v>8192</v>
      </c>
      <c r="K77" s="6" t="str">
        <f t="shared" si="1"/>
        <v>不死生物</v>
      </c>
      <c r="L77" s="6"/>
    </row>
    <row r="78" spans="1:12">
      <c r="A78" s="4"/>
      <c r="B78" s="8" t="s">
        <v>182</v>
      </c>
      <c r="C78" s="9">
        <v>0</v>
      </c>
      <c r="D78" s="9">
        <v>1</v>
      </c>
      <c r="E78" s="8"/>
      <c r="F78" s="8" t="s">
        <v>183</v>
      </c>
      <c r="G78" s="8"/>
      <c r="H78" s="9" t="s">
        <v>184</v>
      </c>
      <c r="I78" s="9" t="s">
        <v>185</v>
      </c>
      <c r="J78" s="9">
        <v>1</v>
      </c>
      <c r="K78" s="9" t="str">
        <f t="shared" si="1"/>
        <v>人类</v>
      </c>
      <c r="L78" s="11"/>
    </row>
    <row r="79" spans="1:12">
      <c r="A79" s="4"/>
      <c r="B79" s="8"/>
      <c r="C79" s="9"/>
      <c r="D79" s="9"/>
      <c r="E79" s="8"/>
      <c r="F79" s="8"/>
      <c r="G79" s="8"/>
      <c r="H79" s="9" t="s">
        <v>186</v>
      </c>
      <c r="I79" s="9" t="s">
        <v>187</v>
      </c>
      <c r="J79" s="9">
        <v>2</v>
      </c>
      <c r="K79" s="9" t="str">
        <f t="shared" si="1"/>
        <v>矮人</v>
      </c>
      <c r="L79" s="11"/>
    </row>
    <row r="80" spans="1:12">
      <c r="A80" s="4"/>
      <c r="B80" s="8"/>
      <c r="C80" s="9"/>
      <c r="D80" s="9"/>
      <c r="E80" s="8"/>
      <c r="F80" s="8"/>
      <c r="G80" s="8"/>
      <c r="H80" s="9" t="s">
        <v>188</v>
      </c>
      <c r="I80" s="9" t="s">
        <v>189</v>
      </c>
      <c r="J80" s="9">
        <v>3</v>
      </c>
      <c r="K80" s="9" t="str">
        <f t="shared" si="1"/>
        <v>精灵</v>
      </c>
      <c r="L80" s="11"/>
    </row>
    <row r="81" spans="1:12">
      <c r="A81" s="4"/>
      <c r="B81" s="8"/>
      <c r="C81" s="9"/>
      <c r="D81" s="9"/>
      <c r="E81" s="8"/>
      <c r="F81" s="8"/>
      <c r="G81" s="8"/>
      <c r="H81" s="9" t="s">
        <v>190</v>
      </c>
      <c r="I81" s="9" t="s">
        <v>191</v>
      </c>
      <c r="J81" s="9">
        <v>4</v>
      </c>
      <c r="K81" s="9" t="str">
        <f t="shared" si="1"/>
        <v>半身人</v>
      </c>
      <c r="L81" s="11"/>
    </row>
    <row r="82" spans="1:12">
      <c r="A82" s="4"/>
      <c r="B82" s="8"/>
      <c r="C82" s="9"/>
      <c r="D82" s="9"/>
      <c r="E82" s="8"/>
      <c r="F82" s="8"/>
      <c r="G82" s="8"/>
      <c r="H82" s="9" t="s">
        <v>192</v>
      </c>
      <c r="I82" s="9" t="s">
        <v>193</v>
      </c>
      <c r="J82" s="9">
        <v>5</v>
      </c>
      <c r="K82" s="9" t="str">
        <f t="shared" si="1"/>
        <v>侏儒</v>
      </c>
      <c r="L82" s="11"/>
    </row>
    <row r="83" spans="1:12">
      <c r="A83" s="4"/>
      <c r="B83" s="8"/>
      <c r="C83" s="9"/>
      <c r="D83" s="9"/>
      <c r="E83" s="8"/>
      <c r="F83" s="8"/>
      <c r="G83" s="8"/>
      <c r="H83" s="9" t="s">
        <v>194</v>
      </c>
      <c r="I83" s="9" t="s">
        <v>195</v>
      </c>
      <c r="J83" s="9">
        <v>6</v>
      </c>
      <c r="K83" s="9" t="str">
        <f t="shared" si="1"/>
        <v>半精灵</v>
      </c>
      <c r="L83" s="11"/>
    </row>
    <row r="84" spans="1:12">
      <c r="A84" s="4"/>
      <c r="B84" s="8"/>
      <c r="C84" s="9"/>
      <c r="D84" s="9"/>
      <c r="E84" s="8"/>
      <c r="F84" s="8"/>
      <c r="G84" s="8"/>
      <c r="H84" s="9" t="s">
        <v>196</v>
      </c>
      <c r="I84" s="9" t="s">
        <v>197</v>
      </c>
      <c r="J84" s="9">
        <v>7</v>
      </c>
      <c r="K84" s="9" t="str">
        <f t="shared" si="1"/>
        <v>龙裔</v>
      </c>
      <c r="L84" s="11"/>
    </row>
    <row r="85" spans="1:12">
      <c r="A85" s="4"/>
      <c r="B85" s="8"/>
      <c r="C85" s="9"/>
      <c r="D85" s="9"/>
      <c r="E85" s="8"/>
      <c r="F85" s="8"/>
      <c r="G85" s="8"/>
      <c r="H85" s="9" t="s">
        <v>198</v>
      </c>
      <c r="I85" s="9" t="s">
        <v>199</v>
      </c>
      <c r="J85" s="9">
        <v>8</v>
      </c>
      <c r="K85" s="9" t="str">
        <f t="shared" si="1"/>
        <v>半兽人</v>
      </c>
      <c r="L85" s="11"/>
    </row>
    <row r="86" spans="1:12">
      <c r="A86" s="4"/>
      <c r="B86" s="8"/>
      <c r="C86" s="9"/>
      <c r="D86" s="9"/>
      <c r="E86" s="8"/>
      <c r="F86" s="8"/>
      <c r="G86" s="8"/>
      <c r="H86" s="9" t="s">
        <v>200</v>
      </c>
      <c r="I86" s="9" t="s">
        <v>201</v>
      </c>
      <c r="J86" s="9">
        <v>9</v>
      </c>
      <c r="K86" s="9" t="str">
        <f t="shared" si="1"/>
        <v>提夫林</v>
      </c>
      <c r="L86" s="11"/>
    </row>
    <row r="87" spans="1:12">
      <c r="A87" s="4"/>
      <c r="B87" s="8"/>
      <c r="C87" s="8"/>
      <c r="D87" s="8"/>
      <c r="E87" s="8"/>
      <c r="F87" s="8"/>
      <c r="G87" s="8"/>
      <c r="H87" s="8" t="s">
        <v>202</v>
      </c>
      <c r="I87" s="8" t="s">
        <v>203</v>
      </c>
      <c r="J87" s="8">
        <v>10</v>
      </c>
      <c r="K87" s="8" t="str">
        <f t="shared" si="1"/>
        <v>地精</v>
      </c>
      <c r="L87" s="8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2026-01-17T05:58:42Z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2057-12.2.0.23196</vt:lpwstr>
  </property>
</Properties>
</file>