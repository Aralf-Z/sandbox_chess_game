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<sst xmlns="http://schemas.openxmlformats.org/spreadsheetml/2006/main" count="134" uniqueCount="70">
  <si>
    <t>##var</t>
  </si>
  <si>
    <t>id</t>
  </si>
  <si>
    <t>name</t>
  </si>
  <si>
    <t>type_info</t>
  </si>
  <si>
    <t>##价格</t>
  </si>
  <si>
    <t>price</t>
  </si>
  <si>
    <t>description</t>
  </si>
  <si>
    <t>##type</t>
  </si>
  <si>
    <t>int</t>
  </si>
  <si>
    <t>string</t>
  </si>
  <si>
    <t>Character.ItemInfo</t>
  </si>
  <si>
    <t>$type</t>
  </si>
  <si>
    <t>##</t>
  </si>
  <si>
    <t>唯一id</t>
  </si>
  <si>
    <t>名称</t>
  </si>
  <si>
    <t>装备信息</t>
  </si>
  <si>
    <t>信息内容</t>
  </si>
  <si>
    <t>铜币(cp)</t>
  </si>
  <si>
    <t>银币(sp)</t>
  </si>
  <si>
    <t>银金币(ep)</t>
  </si>
  <si>
    <t>金币(gp)</t>
  </si>
  <si>
    <t>铂金币(pp)</t>
  </si>
  <si>
    <t>价格(cp)</t>
  </si>
  <si>
    <t>文本描述</t>
  </si>
  <si>
    <t>布袍</t>
  </si>
  <si>
    <t>无甲信息</t>
  </si>
  <si>
    <t>布甲</t>
  </si>
  <si>
    <t>轻甲信息</t>
  </si>
  <si>
    <t>皮甲</t>
  </si>
  <si>
    <t>镶钉皮甲</t>
  </si>
  <si>
    <t>兽皮甲</t>
  </si>
  <si>
    <t>中甲信息</t>
  </si>
  <si>
    <t>链甲衫</t>
  </si>
  <si>
    <t>鳞甲</t>
  </si>
  <si>
    <t>胸甲</t>
  </si>
  <si>
    <t>半身板甲</t>
  </si>
  <si>
    <t>环甲</t>
  </si>
  <si>
    <t>重甲信息</t>
  </si>
  <si>
    <t>链甲</t>
  </si>
  <si>
    <t>板条甲</t>
  </si>
  <si>
    <t>板甲</t>
  </si>
  <si>
    <t>盾牌</t>
  </si>
  <si>
    <t>盾牌信息</t>
  </si>
  <si>
    <t>短棒</t>
  </si>
  <si>
    <t>武器信息</t>
  </si>
  <si>
    <t>匕首</t>
  </si>
  <si>
    <t>巨棒</t>
  </si>
  <si>
    <t>手斧</t>
  </si>
  <si>
    <t>标枪</t>
  </si>
  <si>
    <t>长棍</t>
  </si>
  <si>
    <t>镰刀</t>
  </si>
  <si>
    <t>矛</t>
  </si>
  <si>
    <t>轻弩</t>
  </si>
  <si>
    <t>飞镖</t>
  </si>
  <si>
    <t>短弓</t>
  </si>
  <si>
    <t>战斧</t>
  </si>
  <si>
    <t>链枷</t>
  </si>
  <si>
    <t>巨斧</t>
  </si>
  <si>
    <t>巨剑</t>
  </si>
  <si>
    <t>长剑</t>
  </si>
  <si>
    <t>巨锤</t>
  </si>
  <si>
    <t>长矛</t>
  </si>
  <si>
    <t>刺剑</t>
  </si>
  <si>
    <t>弯刀</t>
  </si>
  <si>
    <t>短剑</t>
  </si>
  <si>
    <t>战锤</t>
  </si>
  <si>
    <t>辉黯</t>
  </si>
  <si>
    <t>手弩</t>
  </si>
  <si>
    <t>重弩</t>
  </si>
  <si>
    <t>长弓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</si>
</sst>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2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 vertical="center" wrapText="1"/>
    </xf>
    <xf numFmtId="0" fontId="1" fillId="2" borderId="1" xfId="17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16" applyNumberFormat="1" applyFont="1" applyFill="1" applyBorder="1" applyAlignment="1" applyProtection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16" applyNumberFormat="1" applyFont="1" applyFill="1" applyBorder="1" applyAlignment="1" applyProtection="1">
      <alignment horizontal="left" vertical="center"/>
    </xf>
    <xf numFmtId="0" fontId="3" fillId="0" borderId="0" xfId="0" applyFont="1" applyFill="1" applyAlignment="1">
      <alignment vertical="center"/>
    </xf>
    <xf numFmtId="0" fontId="1" fillId="2" borderId="3" xfId="17" applyNumberFormat="1" applyFont="1" applyFill="1" applyBorder="1" applyAlignment="1" applyProtection="1">
      <alignment horizontal="center" vertical="center" wrapText="1"/>
    </xf>
    <xf numFmtId="0" fontId="1" fillId="4" borderId="2" xfId="17" applyNumberFormat="1" applyFont="1" applyFill="1" applyBorder="1" applyAlignment="1" applyProtection="1">
      <alignment horizontal="left" vertical="center" wrapText="1"/>
    </xf>
    <xf numFmtId="0" fontId="1" fillId="2" borderId="4" xfId="17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tabSelected="1" workbookViewId="0">
      <selection activeCell="O8" sqref="O8"/>
    </sheetView>
  </sheetViews>
  <sheetFormatPr defaultColWidth="9" defaultRowHeight="14.5"/>
  <sheetData>
    <row r="1" ht="28" spans="1:1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3" t="s">
        <v>4</v>
      </c>
      <c r="H1" s="3"/>
      <c r="I1" s="3"/>
      <c r="J1" s="3"/>
      <c r="K1" s="11"/>
      <c r="L1" s="12" t="s">
        <v>5</v>
      </c>
      <c r="M1" s="13" t="s">
        <v>6</v>
      </c>
    </row>
    <row r="2" spans="1:13">
      <c r="A2" s="1" t="s">
        <v>7</v>
      </c>
      <c r="B2" s="1" t="s">
        <v>8</v>
      </c>
      <c r="C2" s="1" t="s">
        <v>9</v>
      </c>
      <c r="D2" s="2" t="s">
        <v>10</v>
      </c>
      <c r="E2" s="2"/>
      <c r="F2" s="2"/>
      <c r="G2" s="3"/>
      <c r="H2" s="3"/>
      <c r="I2" s="3"/>
      <c r="J2" s="3"/>
      <c r="K2" s="11"/>
      <c r="L2" s="12" t="s">
        <v>8</v>
      </c>
      <c r="M2" s="13" t="s">
        <v>9</v>
      </c>
    </row>
    <row r="3" spans="1:13">
      <c r="A3" s="1" t="s">
        <v>7</v>
      </c>
      <c r="B3" s="1"/>
      <c r="C3" s="1"/>
      <c r="D3" s="1" t="s">
        <v>11</v>
      </c>
      <c r="E3" s="3"/>
      <c r="F3" s="3"/>
      <c r="G3" s="3"/>
      <c r="H3" s="3"/>
      <c r="I3" s="3"/>
      <c r="J3" s="3"/>
      <c r="K3" s="11"/>
      <c r="L3" s="12"/>
      <c r="M3" s="13"/>
    </row>
    <row r="4" spans="1:13">
      <c r="A4" s="1" t="s">
        <v>7</v>
      </c>
      <c r="B4" s="1"/>
      <c r="C4" s="1"/>
      <c r="D4" s="1"/>
      <c r="E4" s="3"/>
      <c r="F4" s="3"/>
      <c r="G4" s="3"/>
      <c r="H4" s="3"/>
      <c r="I4" s="3"/>
      <c r="J4" s="3"/>
      <c r="K4" s="11"/>
      <c r="L4" s="12"/>
      <c r="M4" s="13"/>
    </row>
    <row r="5" ht="28" spans="1:13">
      <c r="A5" s="4" t="s">
        <v>12</v>
      </c>
      <c r="B5" s="4" t="s">
        <v>13</v>
      </c>
      <c r="C5" s="4" t="s">
        <v>14</v>
      </c>
      <c r="D5" s="4" t="s">
        <v>15</v>
      </c>
      <c r="E5" s="3" t="s">
        <v>16</v>
      </c>
      <c r="F5" s="3"/>
      <c r="G5" s="3" t="s">
        <v>17</v>
      </c>
      <c r="H5" s="3" t="s">
        <v>18</v>
      </c>
      <c r="I5" s="3" t="s">
        <v>19</v>
      </c>
      <c r="J5" s="3" t="s">
        <v>20</v>
      </c>
      <c r="K5" s="11" t="s">
        <v>21</v>
      </c>
      <c r="L5" s="12" t="s">
        <v>22</v>
      </c>
      <c r="M5" s="13" t="s">
        <v>23</v>
      </c>
    </row>
    <row r="6" ht="42" spans="1:13">
      <c r="A6" s="5"/>
      <c r="B6" s="6">
        <v>40101</v>
      </c>
      <c r="C6" s="7" t="s">
        <v>24</v>
      </c>
      <c r="D6" s="7" t="s">
        <v>25</v>
      </c>
      <c r="E6" s="5"/>
      <c r="F6" s="5"/>
      <c r="G6" s="5"/>
      <c r="H6" s="5"/>
      <c r="I6" s="5"/>
      <c r="J6" s="14">
        <v>2</v>
      </c>
      <c r="K6" s="14"/>
      <c r="L6" s="15">
        <f t="shared" ref="L6:L45" si="0">G6+10*H6+50*I6+100*J6+1000*K6</f>
        <v>200</v>
      </c>
      <c r="M6" s="16" t="str">
        <f t="shared" ref="M6:M45" si="1">"这是关于“"&amp;C6&amp;"”的描述。"</f>
        <v>这是关于“布袍”的描述。</v>
      </c>
    </row>
    <row r="7" ht="42" spans="1:13">
      <c r="A7" s="5"/>
      <c r="B7" s="8">
        <v>40201</v>
      </c>
      <c r="C7" s="9" t="s">
        <v>26</v>
      </c>
      <c r="D7" s="9" t="s">
        <v>27</v>
      </c>
      <c r="E7" s="5">
        <v>11</v>
      </c>
      <c r="F7" s="5"/>
      <c r="G7" s="5"/>
      <c r="H7" s="5"/>
      <c r="I7" s="5"/>
      <c r="J7" s="14">
        <v>5</v>
      </c>
      <c r="K7" s="14"/>
      <c r="L7" s="15">
        <f t="shared" si="0"/>
        <v>500</v>
      </c>
      <c r="M7" s="16" t="str">
        <f t="shared" si="1"/>
        <v>这是关于“布甲”的描述。</v>
      </c>
    </row>
    <row r="8" ht="42" spans="1:13">
      <c r="A8" s="5"/>
      <c r="B8" s="8">
        <v>40202</v>
      </c>
      <c r="C8" s="9" t="s">
        <v>28</v>
      </c>
      <c r="D8" s="9" t="s">
        <v>27</v>
      </c>
      <c r="E8" s="5">
        <v>11</v>
      </c>
      <c r="F8" s="5"/>
      <c r="G8" s="5"/>
      <c r="H8" s="5"/>
      <c r="I8" s="5"/>
      <c r="J8" s="14">
        <v>10</v>
      </c>
      <c r="K8" s="14"/>
      <c r="L8" s="15">
        <f t="shared" si="0"/>
        <v>1000</v>
      </c>
      <c r="M8" s="16" t="str">
        <f t="shared" si="1"/>
        <v>这是关于“皮甲”的描述。</v>
      </c>
    </row>
    <row r="9" ht="56" spans="1:13">
      <c r="A9" s="5"/>
      <c r="B9" s="8">
        <v>40203</v>
      </c>
      <c r="C9" s="9" t="s">
        <v>29</v>
      </c>
      <c r="D9" s="9" t="s">
        <v>27</v>
      </c>
      <c r="E9" s="5">
        <v>12</v>
      </c>
      <c r="F9" s="5"/>
      <c r="G9" s="5"/>
      <c r="H9" s="5"/>
      <c r="I9" s="5"/>
      <c r="J9" s="14">
        <v>45</v>
      </c>
      <c r="K9" s="14"/>
      <c r="L9" s="15">
        <f t="shared" si="0"/>
        <v>4500</v>
      </c>
      <c r="M9" s="16" t="str">
        <f t="shared" si="1"/>
        <v>这是关于“镶钉皮甲”的描述。</v>
      </c>
    </row>
    <row r="10" ht="42" spans="1:13">
      <c r="A10" s="5"/>
      <c r="B10" s="6">
        <v>40301</v>
      </c>
      <c r="C10" s="7" t="s">
        <v>30</v>
      </c>
      <c r="D10" s="7" t="s">
        <v>31</v>
      </c>
      <c r="E10" s="5">
        <v>12</v>
      </c>
      <c r="F10" s="5">
        <v>2</v>
      </c>
      <c r="G10" s="5"/>
      <c r="H10" s="5"/>
      <c r="I10" s="5"/>
      <c r="J10" s="14">
        <v>10</v>
      </c>
      <c r="K10" s="14"/>
      <c r="L10" s="15">
        <f t="shared" si="0"/>
        <v>1000</v>
      </c>
      <c r="M10" s="16" t="str">
        <f t="shared" si="1"/>
        <v>这是关于“兽皮甲”的描述。</v>
      </c>
    </row>
    <row r="11" ht="42" spans="1:13">
      <c r="A11" s="5"/>
      <c r="B11" s="6">
        <v>40302</v>
      </c>
      <c r="C11" s="7" t="s">
        <v>32</v>
      </c>
      <c r="D11" s="7" t="s">
        <v>31</v>
      </c>
      <c r="E11" s="5">
        <v>13</v>
      </c>
      <c r="F11" s="5">
        <v>2</v>
      </c>
      <c r="G11" s="5"/>
      <c r="H11" s="5"/>
      <c r="I11" s="5"/>
      <c r="J11" s="14">
        <v>50</v>
      </c>
      <c r="K11" s="14"/>
      <c r="L11" s="15">
        <f t="shared" si="0"/>
        <v>5000</v>
      </c>
      <c r="M11" s="16" t="str">
        <f t="shared" si="1"/>
        <v>这是关于“链甲衫”的描述。</v>
      </c>
    </row>
    <row r="12" ht="42" spans="1:13">
      <c r="A12" s="5"/>
      <c r="B12" s="6">
        <v>40303</v>
      </c>
      <c r="C12" s="7" t="s">
        <v>33</v>
      </c>
      <c r="D12" s="7" t="s">
        <v>31</v>
      </c>
      <c r="E12" s="5">
        <v>14</v>
      </c>
      <c r="F12" s="5">
        <v>2</v>
      </c>
      <c r="G12" s="5"/>
      <c r="H12" s="5"/>
      <c r="I12" s="5"/>
      <c r="J12" s="14">
        <v>50</v>
      </c>
      <c r="K12" s="14"/>
      <c r="L12" s="15">
        <f t="shared" si="0"/>
        <v>5000</v>
      </c>
      <c r="M12" s="16" t="str">
        <f t="shared" si="1"/>
        <v>这是关于“鳞甲”的描述。</v>
      </c>
    </row>
    <row r="13" ht="42" spans="1:13">
      <c r="A13" s="5"/>
      <c r="B13" s="6">
        <v>40304</v>
      </c>
      <c r="C13" s="7" t="s">
        <v>34</v>
      </c>
      <c r="D13" s="7" t="s">
        <v>31</v>
      </c>
      <c r="E13" s="5">
        <v>14</v>
      </c>
      <c r="F13" s="5">
        <v>2</v>
      </c>
      <c r="G13" s="5"/>
      <c r="H13" s="5"/>
      <c r="I13" s="5"/>
      <c r="J13" s="14">
        <v>400</v>
      </c>
      <c r="K13" s="14"/>
      <c r="L13" s="15">
        <f t="shared" si="0"/>
        <v>40000</v>
      </c>
      <c r="M13" s="16" t="str">
        <f t="shared" si="1"/>
        <v>这是关于“胸甲”的描述。</v>
      </c>
    </row>
    <row r="14" ht="56" spans="1:13">
      <c r="A14" s="5"/>
      <c r="B14" s="6">
        <v>40305</v>
      </c>
      <c r="C14" s="7" t="s">
        <v>35</v>
      </c>
      <c r="D14" s="7" t="s">
        <v>31</v>
      </c>
      <c r="E14" s="5">
        <v>15</v>
      </c>
      <c r="F14" s="5">
        <v>2</v>
      </c>
      <c r="G14" s="5"/>
      <c r="H14" s="5"/>
      <c r="I14" s="5"/>
      <c r="J14" s="14">
        <v>750</v>
      </c>
      <c r="K14" s="14"/>
      <c r="L14" s="15">
        <f t="shared" si="0"/>
        <v>75000</v>
      </c>
      <c r="M14" s="16" t="str">
        <f t="shared" si="1"/>
        <v>这是关于“半身板甲”的描述。</v>
      </c>
    </row>
    <row r="15" ht="42" spans="1:13">
      <c r="A15" s="5"/>
      <c r="B15" s="8">
        <v>40401</v>
      </c>
      <c r="C15" s="9" t="s">
        <v>36</v>
      </c>
      <c r="D15" s="9" t="s">
        <v>37</v>
      </c>
      <c r="E15" s="5">
        <v>14</v>
      </c>
      <c r="F15" s="5">
        <v>0</v>
      </c>
      <c r="G15" s="5"/>
      <c r="H15" s="5"/>
      <c r="I15" s="5"/>
      <c r="J15" s="14">
        <v>30</v>
      </c>
      <c r="K15" s="14"/>
      <c r="L15" s="15">
        <f t="shared" si="0"/>
        <v>3000</v>
      </c>
      <c r="M15" s="16" t="str">
        <f t="shared" si="1"/>
        <v>这是关于“环甲”的描述。</v>
      </c>
    </row>
    <row r="16" ht="42" spans="1:13">
      <c r="A16" s="5"/>
      <c r="B16" s="8">
        <v>40402</v>
      </c>
      <c r="C16" s="9" t="s">
        <v>38</v>
      </c>
      <c r="D16" s="9" t="s">
        <v>37</v>
      </c>
      <c r="E16" s="5">
        <v>16</v>
      </c>
      <c r="F16" s="5">
        <v>13</v>
      </c>
      <c r="G16" s="5"/>
      <c r="H16" s="5"/>
      <c r="I16" s="5"/>
      <c r="J16" s="14">
        <v>75</v>
      </c>
      <c r="K16" s="14"/>
      <c r="L16" s="15">
        <f t="shared" si="0"/>
        <v>7500</v>
      </c>
      <c r="M16" s="16" t="str">
        <f t="shared" si="1"/>
        <v>这是关于“链甲”的描述。</v>
      </c>
    </row>
    <row r="17" ht="42" spans="1:13">
      <c r="A17" s="5"/>
      <c r="B17" s="8">
        <v>40403</v>
      </c>
      <c r="C17" s="9" t="s">
        <v>39</v>
      </c>
      <c r="D17" s="9" t="s">
        <v>37</v>
      </c>
      <c r="E17" s="5">
        <v>17</v>
      </c>
      <c r="F17" s="5">
        <v>15</v>
      </c>
      <c r="G17" s="5"/>
      <c r="H17" s="5"/>
      <c r="I17" s="5"/>
      <c r="J17" s="14">
        <v>200</v>
      </c>
      <c r="K17" s="14"/>
      <c r="L17" s="15">
        <f t="shared" si="0"/>
        <v>20000</v>
      </c>
      <c r="M17" s="16" t="str">
        <f t="shared" si="1"/>
        <v>这是关于“板条甲”的描述。</v>
      </c>
    </row>
    <row r="18" ht="42" spans="1:13">
      <c r="A18" s="5"/>
      <c r="B18" s="8">
        <v>40404</v>
      </c>
      <c r="C18" s="9" t="s">
        <v>40</v>
      </c>
      <c r="D18" s="9" t="s">
        <v>37</v>
      </c>
      <c r="E18" s="5">
        <v>18</v>
      </c>
      <c r="F18" s="5">
        <v>15</v>
      </c>
      <c r="G18" s="5"/>
      <c r="H18" s="5"/>
      <c r="I18" s="5"/>
      <c r="J18" s="14">
        <v>1500</v>
      </c>
      <c r="K18" s="14"/>
      <c r="L18" s="15">
        <f t="shared" si="0"/>
        <v>150000</v>
      </c>
      <c r="M18" s="16" t="str">
        <f t="shared" si="1"/>
        <v>这是关于“板甲”的描述。</v>
      </c>
    </row>
    <row r="19" ht="42" spans="1:13">
      <c r="A19" s="5"/>
      <c r="B19" s="6">
        <v>40501</v>
      </c>
      <c r="C19" s="7" t="s">
        <v>41</v>
      </c>
      <c r="D19" s="7" t="s">
        <v>42</v>
      </c>
      <c r="E19" s="5">
        <v>2</v>
      </c>
      <c r="F19" s="5"/>
      <c r="G19" s="5"/>
      <c r="H19" s="5"/>
      <c r="I19" s="5"/>
      <c r="J19" s="14">
        <v>10</v>
      </c>
      <c r="K19" s="14"/>
      <c r="L19" s="15">
        <f t="shared" si="0"/>
        <v>1000</v>
      </c>
      <c r="M19" s="16" t="str">
        <f t="shared" si="1"/>
        <v>这是关于“盾牌”的描述。</v>
      </c>
    </row>
    <row r="20" ht="42" spans="1:13">
      <c r="A20" s="5"/>
      <c r="B20" s="8">
        <v>40601</v>
      </c>
      <c r="C20" s="9" t="s">
        <v>43</v>
      </c>
      <c r="D20" s="9" t="s">
        <v>44</v>
      </c>
      <c r="E20" s="5" t="s">
        <v>43</v>
      </c>
      <c r="F20" s="5"/>
      <c r="G20" s="5"/>
      <c r="H20" s="5">
        <v>1</v>
      </c>
      <c r="I20" s="5"/>
      <c r="J20" s="5"/>
      <c r="K20" s="14"/>
      <c r="L20" s="15">
        <f t="shared" si="0"/>
        <v>10</v>
      </c>
      <c r="M20" s="16" t="str">
        <f t="shared" si="1"/>
        <v>这是关于“短棒”的描述。</v>
      </c>
    </row>
    <row r="21" ht="42" spans="1:13">
      <c r="A21" s="5"/>
      <c r="B21" s="6">
        <v>40701</v>
      </c>
      <c r="C21" s="7" t="s">
        <v>45</v>
      </c>
      <c r="D21" s="7" t="s">
        <v>44</v>
      </c>
      <c r="E21" s="5" t="s">
        <v>45</v>
      </c>
      <c r="F21" s="5"/>
      <c r="G21" s="5"/>
      <c r="H21" s="5"/>
      <c r="I21" s="5"/>
      <c r="J21" s="5">
        <v>2</v>
      </c>
      <c r="K21" s="14"/>
      <c r="L21" s="15">
        <f t="shared" si="0"/>
        <v>200</v>
      </c>
      <c r="M21" s="16" t="str">
        <f t="shared" si="1"/>
        <v>这是关于“匕首”的描述。</v>
      </c>
    </row>
    <row r="22" ht="42" spans="1:13">
      <c r="A22" s="5"/>
      <c r="B22" s="8">
        <v>40801</v>
      </c>
      <c r="C22" s="9" t="s">
        <v>46</v>
      </c>
      <c r="D22" s="9" t="s">
        <v>44</v>
      </c>
      <c r="E22" s="5" t="s">
        <v>46</v>
      </c>
      <c r="F22" s="5"/>
      <c r="G22" s="5"/>
      <c r="H22" s="5">
        <v>2</v>
      </c>
      <c r="I22" s="5"/>
      <c r="J22" s="5"/>
      <c r="K22" s="14"/>
      <c r="L22" s="15">
        <f t="shared" si="0"/>
        <v>20</v>
      </c>
      <c r="M22" s="16" t="str">
        <f t="shared" si="1"/>
        <v>这是关于“巨棒”的描述。</v>
      </c>
    </row>
    <row r="23" ht="42" spans="1:13">
      <c r="A23" s="5"/>
      <c r="B23" s="6">
        <v>40901</v>
      </c>
      <c r="C23" s="7" t="s">
        <v>47</v>
      </c>
      <c r="D23" s="7" t="s">
        <v>44</v>
      </c>
      <c r="E23" s="5" t="s">
        <v>47</v>
      </c>
      <c r="F23" s="5"/>
      <c r="G23" s="5"/>
      <c r="H23" s="5"/>
      <c r="I23" s="5"/>
      <c r="J23" s="5">
        <v>5</v>
      </c>
      <c r="K23" s="14"/>
      <c r="L23" s="15">
        <f t="shared" si="0"/>
        <v>500</v>
      </c>
      <c r="M23" s="16" t="str">
        <f t="shared" si="1"/>
        <v>这是关于“手斧”的描述。</v>
      </c>
    </row>
    <row r="24" ht="42" spans="1:13">
      <c r="A24" s="5"/>
      <c r="B24" s="8">
        <v>41001</v>
      </c>
      <c r="C24" s="9" t="s">
        <v>48</v>
      </c>
      <c r="D24" s="9" t="s">
        <v>44</v>
      </c>
      <c r="E24" s="5" t="s">
        <v>48</v>
      </c>
      <c r="F24" s="5"/>
      <c r="G24" s="5"/>
      <c r="H24" s="5">
        <v>5</v>
      </c>
      <c r="I24" s="5"/>
      <c r="J24" s="5"/>
      <c r="K24" s="14"/>
      <c r="L24" s="15">
        <f t="shared" si="0"/>
        <v>50</v>
      </c>
      <c r="M24" s="16" t="str">
        <f t="shared" si="1"/>
        <v>这是关于“标枪”的描述。</v>
      </c>
    </row>
    <row r="25" ht="42" spans="1:13">
      <c r="A25" s="5"/>
      <c r="B25" s="6">
        <v>41101</v>
      </c>
      <c r="C25" s="7" t="s">
        <v>49</v>
      </c>
      <c r="D25" s="7" t="s">
        <v>44</v>
      </c>
      <c r="E25" s="5" t="s">
        <v>49</v>
      </c>
      <c r="F25" s="5"/>
      <c r="G25" s="5"/>
      <c r="H25" s="5">
        <v>2</v>
      </c>
      <c r="I25" s="5"/>
      <c r="J25" s="5"/>
      <c r="K25" s="14"/>
      <c r="L25" s="15">
        <f t="shared" si="0"/>
        <v>20</v>
      </c>
      <c r="M25" s="16" t="str">
        <f t="shared" si="1"/>
        <v>这是关于“长棍”的描述。</v>
      </c>
    </row>
    <row r="26" ht="42" spans="1:13">
      <c r="A26" s="5"/>
      <c r="B26" s="8">
        <v>41201</v>
      </c>
      <c r="C26" s="9" t="s">
        <v>50</v>
      </c>
      <c r="D26" s="9" t="s">
        <v>44</v>
      </c>
      <c r="E26" s="5" t="s">
        <v>50</v>
      </c>
      <c r="F26" s="5"/>
      <c r="G26" s="5"/>
      <c r="H26" s="5"/>
      <c r="I26" s="5"/>
      <c r="J26" s="5">
        <v>1</v>
      </c>
      <c r="K26" s="14"/>
      <c r="L26" s="15">
        <f t="shared" si="0"/>
        <v>100</v>
      </c>
      <c r="M26" s="16" t="str">
        <f t="shared" si="1"/>
        <v>这是关于“镰刀”的描述。</v>
      </c>
    </row>
    <row r="27" ht="42" spans="1:13">
      <c r="A27" s="5"/>
      <c r="B27" s="6">
        <v>41301</v>
      </c>
      <c r="C27" s="7" t="s">
        <v>51</v>
      </c>
      <c r="D27" s="7" t="s">
        <v>44</v>
      </c>
      <c r="E27" s="5" t="s">
        <v>51</v>
      </c>
      <c r="F27" s="5"/>
      <c r="G27" s="5"/>
      <c r="H27" s="5"/>
      <c r="I27" s="5"/>
      <c r="J27" s="5">
        <v>1</v>
      </c>
      <c r="K27" s="14"/>
      <c r="L27" s="15">
        <f t="shared" si="0"/>
        <v>100</v>
      </c>
      <c r="M27" s="16" t="str">
        <f t="shared" si="1"/>
        <v>这是关于“矛”的描述。</v>
      </c>
    </row>
    <row r="28" ht="42" spans="1:13">
      <c r="A28" s="5"/>
      <c r="B28" s="8">
        <v>41401</v>
      </c>
      <c r="C28" s="9" t="s">
        <v>52</v>
      </c>
      <c r="D28" s="9" t="s">
        <v>44</v>
      </c>
      <c r="E28" s="5" t="s">
        <v>52</v>
      </c>
      <c r="F28" s="5"/>
      <c r="G28" s="5"/>
      <c r="H28" s="5"/>
      <c r="I28" s="5"/>
      <c r="J28" s="5">
        <v>25</v>
      </c>
      <c r="K28" s="14"/>
      <c r="L28" s="15">
        <f t="shared" si="0"/>
        <v>2500</v>
      </c>
      <c r="M28" s="16" t="str">
        <f t="shared" si="1"/>
        <v>这是关于“轻弩”的描述。</v>
      </c>
    </row>
    <row r="29" ht="42" spans="1:13">
      <c r="A29" s="5"/>
      <c r="B29" s="6">
        <v>41501</v>
      </c>
      <c r="C29" s="7" t="s">
        <v>53</v>
      </c>
      <c r="D29" s="7" t="s">
        <v>44</v>
      </c>
      <c r="E29" s="5" t="s">
        <v>53</v>
      </c>
      <c r="F29" s="5"/>
      <c r="G29" s="5">
        <v>5</v>
      </c>
      <c r="H29" s="5"/>
      <c r="I29" s="5"/>
      <c r="J29" s="5"/>
      <c r="K29" s="14"/>
      <c r="L29" s="15">
        <f t="shared" si="0"/>
        <v>5</v>
      </c>
      <c r="M29" s="16" t="str">
        <f t="shared" si="1"/>
        <v>这是关于“飞镖”的描述。</v>
      </c>
    </row>
    <row r="30" ht="42" spans="1:13">
      <c r="A30" s="5"/>
      <c r="B30" s="8">
        <v>41601</v>
      </c>
      <c r="C30" s="9" t="s">
        <v>54</v>
      </c>
      <c r="D30" s="9" t="s">
        <v>44</v>
      </c>
      <c r="E30" s="5" t="s">
        <v>54</v>
      </c>
      <c r="F30" s="5"/>
      <c r="G30" s="5"/>
      <c r="H30" s="5"/>
      <c r="I30" s="5"/>
      <c r="J30" s="5">
        <v>25</v>
      </c>
      <c r="K30" s="14"/>
      <c r="L30" s="15">
        <f t="shared" si="0"/>
        <v>2500</v>
      </c>
      <c r="M30" s="16" t="str">
        <f t="shared" si="1"/>
        <v>这是关于“短弓”的描述。</v>
      </c>
    </row>
    <row r="31" ht="42" spans="1:13">
      <c r="A31" s="5"/>
      <c r="B31" s="6">
        <v>41701</v>
      </c>
      <c r="C31" s="7" t="s">
        <v>55</v>
      </c>
      <c r="D31" s="7" t="s">
        <v>44</v>
      </c>
      <c r="E31" s="5" t="s">
        <v>55</v>
      </c>
      <c r="F31" s="5"/>
      <c r="G31" s="5"/>
      <c r="H31" s="5"/>
      <c r="I31" s="5"/>
      <c r="J31" s="5">
        <v>10</v>
      </c>
      <c r="K31" s="14"/>
      <c r="L31" s="15">
        <f t="shared" si="0"/>
        <v>1000</v>
      </c>
      <c r="M31" s="16" t="str">
        <f t="shared" si="1"/>
        <v>这是关于“战斧”的描述。</v>
      </c>
    </row>
    <row r="32" ht="42" spans="1:13">
      <c r="A32" s="5"/>
      <c r="B32" s="8">
        <v>41801</v>
      </c>
      <c r="C32" s="9" t="s">
        <v>56</v>
      </c>
      <c r="D32" s="9" t="s">
        <v>44</v>
      </c>
      <c r="E32" s="5" t="s">
        <v>56</v>
      </c>
      <c r="F32" s="5"/>
      <c r="G32" s="5"/>
      <c r="H32" s="5"/>
      <c r="I32" s="5"/>
      <c r="J32" s="5">
        <v>10</v>
      </c>
      <c r="K32" s="14"/>
      <c r="L32" s="15">
        <f t="shared" si="0"/>
        <v>1000</v>
      </c>
      <c r="M32" s="16" t="str">
        <f t="shared" si="1"/>
        <v>这是关于“链枷”的描述。</v>
      </c>
    </row>
    <row r="33" ht="42" spans="1:13">
      <c r="A33" s="5"/>
      <c r="B33" s="6">
        <v>41901</v>
      </c>
      <c r="C33" s="7" t="s">
        <v>57</v>
      </c>
      <c r="D33" s="7" t="s">
        <v>44</v>
      </c>
      <c r="E33" s="5" t="s">
        <v>57</v>
      </c>
      <c r="F33" s="5"/>
      <c r="G33" s="5"/>
      <c r="H33" s="5"/>
      <c r="I33" s="5"/>
      <c r="J33" s="5">
        <v>30</v>
      </c>
      <c r="K33" s="14"/>
      <c r="L33" s="15">
        <f t="shared" si="0"/>
        <v>3000</v>
      </c>
      <c r="M33" s="16" t="str">
        <f t="shared" si="1"/>
        <v>这是关于“巨斧”的描述。</v>
      </c>
    </row>
    <row r="34" ht="42" spans="1:13">
      <c r="A34" s="5"/>
      <c r="B34" s="8">
        <v>42001</v>
      </c>
      <c r="C34" s="9" t="s">
        <v>58</v>
      </c>
      <c r="D34" s="9" t="s">
        <v>44</v>
      </c>
      <c r="E34" s="5" t="s">
        <v>58</v>
      </c>
      <c r="F34" s="5"/>
      <c r="G34" s="5"/>
      <c r="H34" s="5"/>
      <c r="I34" s="5"/>
      <c r="J34" s="5">
        <v>50</v>
      </c>
      <c r="K34" s="14"/>
      <c r="L34" s="15">
        <f t="shared" si="0"/>
        <v>5000</v>
      </c>
      <c r="M34" s="16" t="str">
        <f t="shared" si="1"/>
        <v>这是关于“巨剑”的描述。</v>
      </c>
    </row>
    <row r="35" ht="42" spans="1:13">
      <c r="A35" s="5"/>
      <c r="B35" s="6">
        <v>42101</v>
      </c>
      <c r="C35" s="7" t="s">
        <v>59</v>
      </c>
      <c r="D35" s="7" t="s">
        <v>44</v>
      </c>
      <c r="E35" s="5" t="s">
        <v>59</v>
      </c>
      <c r="F35" s="5"/>
      <c r="G35" s="5"/>
      <c r="H35" s="5"/>
      <c r="I35" s="5"/>
      <c r="J35" s="5">
        <v>15</v>
      </c>
      <c r="K35" s="14"/>
      <c r="L35" s="15">
        <f t="shared" si="0"/>
        <v>1500</v>
      </c>
      <c r="M35" s="16" t="str">
        <f t="shared" si="1"/>
        <v>这是关于“长剑”的描述。</v>
      </c>
    </row>
    <row r="36" ht="42" spans="1:13">
      <c r="A36" s="5"/>
      <c r="B36" s="8">
        <v>42201</v>
      </c>
      <c r="C36" s="9" t="s">
        <v>60</v>
      </c>
      <c r="D36" s="9" t="s">
        <v>44</v>
      </c>
      <c r="E36" s="5" t="s">
        <v>60</v>
      </c>
      <c r="F36" s="5"/>
      <c r="G36" s="5"/>
      <c r="H36" s="5"/>
      <c r="I36" s="5"/>
      <c r="J36" s="5">
        <v>10</v>
      </c>
      <c r="K36" s="14"/>
      <c r="L36" s="15">
        <f t="shared" si="0"/>
        <v>1000</v>
      </c>
      <c r="M36" s="16" t="str">
        <f t="shared" si="1"/>
        <v>这是关于“巨锤”的描述。</v>
      </c>
    </row>
    <row r="37" ht="42" spans="1:13">
      <c r="A37" s="5"/>
      <c r="B37" s="6">
        <v>42301</v>
      </c>
      <c r="C37" s="7" t="s">
        <v>61</v>
      </c>
      <c r="D37" s="7" t="s">
        <v>44</v>
      </c>
      <c r="E37" s="5" t="s">
        <v>61</v>
      </c>
      <c r="F37" s="5"/>
      <c r="G37" s="5"/>
      <c r="H37" s="5"/>
      <c r="I37" s="5"/>
      <c r="J37" s="5">
        <v>5</v>
      </c>
      <c r="K37" s="14"/>
      <c r="L37" s="15">
        <f t="shared" si="0"/>
        <v>500</v>
      </c>
      <c r="M37" s="16" t="str">
        <f t="shared" si="1"/>
        <v>这是关于“长矛”的描述。</v>
      </c>
    </row>
    <row r="38" ht="42" spans="1:13">
      <c r="A38" s="5"/>
      <c r="B38" s="8">
        <v>42401</v>
      </c>
      <c r="C38" s="9" t="s">
        <v>62</v>
      </c>
      <c r="D38" s="9" t="s">
        <v>44</v>
      </c>
      <c r="E38" s="5" t="s">
        <v>62</v>
      </c>
      <c r="F38" s="5"/>
      <c r="G38" s="5"/>
      <c r="H38" s="5"/>
      <c r="I38" s="5"/>
      <c r="J38" s="5">
        <v>25</v>
      </c>
      <c r="K38" s="14"/>
      <c r="L38" s="15">
        <f t="shared" si="0"/>
        <v>2500</v>
      </c>
      <c r="M38" s="16" t="str">
        <f t="shared" si="1"/>
        <v>这是关于“刺剑”的描述。</v>
      </c>
    </row>
    <row r="39" ht="42" spans="1:13">
      <c r="A39" s="5"/>
      <c r="B39" s="6">
        <v>42501</v>
      </c>
      <c r="C39" s="7" t="s">
        <v>63</v>
      </c>
      <c r="D39" s="7" t="s">
        <v>44</v>
      </c>
      <c r="E39" s="5" t="s">
        <v>63</v>
      </c>
      <c r="F39" s="5"/>
      <c r="G39" s="5"/>
      <c r="H39" s="5"/>
      <c r="I39" s="5"/>
      <c r="J39" s="5">
        <v>25</v>
      </c>
      <c r="K39" s="14"/>
      <c r="L39" s="15">
        <f t="shared" si="0"/>
        <v>2500</v>
      </c>
      <c r="M39" s="16" t="str">
        <f t="shared" si="1"/>
        <v>这是关于“弯刀”的描述。</v>
      </c>
    </row>
    <row r="40" ht="42" spans="1:13">
      <c r="A40" s="10"/>
      <c r="B40" s="8">
        <v>42601</v>
      </c>
      <c r="C40" s="9" t="s">
        <v>64</v>
      </c>
      <c r="D40" s="9" t="s">
        <v>44</v>
      </c>
      <c r="E40" s="5" t="s">
        <v>64</v>
      </c>
      <c r="F40" s="5"/>
      <c r="G40" s="5"/>
      <c r="H40" s="5"/>
      <c r="I40" s="5"/>
      <c r="J40" s="5">
        <v>10</v>
      </c>
      <c r="K40" s="17"/>
      <c r="L40" s="15">
        <f t="shared" si="0"/>
        <v>1000</v>
      </c>
      <c r="M40" s="16" t="str">
        <f t="shared" si="1"/>
        <v>这是关于“短剑”的描述。</v>
      </c>
    </row>
    <row r="41" ht="42" spans="1:13">
      <c r="A41" s="10"/>
      <c r="B41" s="6">
        <v>42701</v>
      </c>
      <c r="C41" s="7" t="s">
        <v>65</v>
      </c>
      <c r="D41" s="7" t="s">
        <v>44</v>
      </c>
      <c r="E41" s="5" t="s">
        <v>65</v>
      </c>
      <c r="F41" s="5"/>
      <c r="G41" s="5"/>
      <c r="H41" s="5"/>
      <c r="I41" s="5"/>
      <c r="J41" s="5">
        <v>15</v>
      </c>
      <c r="K41" s="17"/>
      <c r="L41" s="15">
        <f t="shared" si="0"/>
        <v>1500</v>
      </c>
      <c r="M41" s="16" t="str">
        <f t="shared" si="1"/>
        <v>这是关于“战锤”的描述。</v>
      </c>
    </row>
    <row r="42" ht="42" spans="1:13">
      <c r="A42" s="10"/>
      <c r="B42" s="6">
        <v>42702</v>
      </c>
      <c r="C42" s="7" t="s">
        <v>66</v>
      </c>
      <c r="D42" s="7" t="s">
        <v>44</v>
      </c>
      <c r="E42" s="5" t="s">
        <v>65</v>
      </c>
      <c r="F42" s="5"/>
      <c r="G42" s="5"/>
      <c r="H42" s="5"/>
      <c r="I42" s="5"/>
      <c r="J42" s="5">
        <v>30</v>
      </c>
      <c r="K42" s="17"/>
      <c r="L42" s="15">
        <f t="shared" si="0"/>
        <v>3000</v>
      </c>
      <c r="M42" s="16" t="str">
        <f t="shared" si="1"/>
        <v>这是关于“辉黯”的描述。</v>
      </c>
    </row>
    <row r="43" ht="42" spans="1:13">
      <c r="A43" s="10"/>
      <c r="B43" s="8">
        <v>42801</v>
      </c>
      <c r="C43" s="9" t="s">
        <v>67</v>
      </c>
      <c r="D43" s="9" t="s">
        <v>44</v>
      </c>
      <c r="E43" s="5" t="s">
        <v>67</v>
      </c>
      <c r="F43" s="5"/>
      <c r="G43" s="5"/>
      <c r="H43" s="5"/>
      <c r="I43" s="5"/>
      <c r="J43" s="5">
        <v>75</v>
      </c>
      <c r="K43" s="17"/>
      <c r="L43" s="15">
        <f t="shared" si="0"/>
        <v>7500</v>
      </c>
      <c r="M43" s="16" t="str">
        <f t="shared" si="1"/>
        <v>这是关于“手弩”的描述。</v>
      </c>
    </row>
    <row r="44" ht="42" spans="1:13">
      <c r="A44" s="10"/>
      <c r="B44" s="6">
        <v>42901</v>
      </c>
      <c r="C44" s="7" t="s">
        <v>68</v>
      </c>
      <c r="D44" s="7" t="s">
        <v>44</v>
      </c>
      <c r="E44" s="5" t="s">
        <v>68</v>
      </c>
      <c r="F44" s="5"/>
      <c r="G44" s="5"/>
      <c r="H44" s="5"/>
      <c r="I44" s="5"/>
      <c r="J44" s="5">
        <v>50</v>
      </c>
      <c r="K44" s="17"/>
      <c r="L44" s="15">
        <f t="shared" si="0"/>
        <v>5000</v>
      </c>
      <c r="M44" s="16" t="str">
        <f t="shared" si="1"/>
        <v>这是关于“重弩”的描述。</v>
      </c>
    </row>
    <row r="45" ht="42" spans="1:13">
      <c r="A45" s="10"/>
      <c r="B45" s="8">
        <v>43001</v>
      </c>
      <c r="C45" s="9" t="s">
        <v>69</v>
      </c>
      <c r="D45" s="9" t="s">
        <v>44</v>
      </c>
      <c r="E45" s="5" t="s">
        <v>69</v>
      </c>
      <c r="F45" s="5"/>
      <c r="G45" s="5"/>
      <c r="H45" s="5"/>
      <c r="I45" s="5"/>
      <c r="J45" s="5">
        <v>50</v>
      </c>
      <c r="K45" s="17"/>
      <c r="L45" s="15">
        <f t="shared" si="0"/>
        <v>5000</v>
      </c>
      <c r="M45" s="16" t="str">
        <f t="shared" si="1"/>
        <v>这是关于“长弓”的描述。</v>
      </c>
    </row>
  </sheetData>
  <mergeCells count="3">
    <mergeCell ref="D1:F1"/>
    <mergeCell ref="D2:F2"/>
    <mergeCell ref="G1:K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695D11E31A934657ADF8ED564A8232C7_12</vt:lpwstr>
  </property>
  <property fmtid="{D5CDD505-2E9C-101B-9397-08002B2CF9AE}" pid="3" name="KSOProductBuildVer">
    <vt:lpwstr>2057-12.2.0.23155</vt:lpwstr>
  </property>
</Properties>
</file>