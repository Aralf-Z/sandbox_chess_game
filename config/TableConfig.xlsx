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20" firstSheet="1" activeTab="17"/>
  </bookViews>
  <sheets>
    <sheet name="tables" sheetId="1" r:id="rId1"/>
    <sheet name="beans" sheetId="2" r:id="rId2"/>
    <sheet name="enums" sheetId="3" r:id="rId3"/>
    <sheet name="多语言_UI" sheetId="4" r:id="rId4"/>
    <sheet name="多语言_游戏" sheetId="5" r:id="rId5"/>
    <sheet name="游戏_音频" sheetId="6" r:id="rId6"/>
    <sheet name="游戏_单例" sheetId="7" r:id="rId7"/>
    <sheet name="角色_职业" sheetId="8" r:id="rId8"/>
    <sheet name="角色_种族_友方" sheetId="10" r:id="rId9"/>
    <sheet name="角色_冒险者" sheetId="9" r:id="rId10"/>
    <sheet name="角色_预设_友方" sheetId="11" r:id="rId11"/>
    <sheet name="角色_种族_敌方" sheetId="12" r:id="rId12"/>
    <sheet name="角色_预设_敌方" sheetId="13" r:id="rId13"/>
    <sheet name="角色_装备" sheetId="14" r:id="rId14"/>
    <sheet name="角色_奇物" sheetId="15" r:id="rId15"/>
    <sheet name="角色_基础武器" sheetId="16" r:id="rId16"/>
    <sheet name="角色_能力" sheetId="17" r:id="rId17"/>
    <sheet name="战斗_战役" sheetId="18" r:id="rId18"/>
    <sheet name="##游戏名词解释" sheetId="19" r:id="rId19"/>
    <sheet name="##角色_下拉菜单" sheetId="20" r:id="rId20"/>
  </sheets>
  <definedNames>
    <definedName name="_xlnm._FilterDatabase" localSheetId="8" hidden="1">角色_种族_友方!$A$1:$R$16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<sst xmlns="http://schemas.openxmlformats.org/spreadsheetml/2006/main" count="1830" uniqueCount="710">
  <si>
    <t>##var</t>
  </si>
  <si>
    <t>##id注释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</si>
  <si>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</si>
  <si>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</si>
  <si>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</si>
  <si>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</si>
  <si>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</si>
  <si>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</si>
  <si>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</si>
  <si>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</si>
  <si>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</si>
  <si>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</si>
  <si>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</si>
  <si>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</si>
  <si>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</si>
  <si>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</si>
  <si>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</si>
  <si>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</si>
  <si>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</si>
  <si>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</si>
  <si>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</si>
  <si>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</si>
  <si>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</si>
  <si>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</si>
  <si>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</si>
  <si>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</si>
  <si>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</si>
  <si>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</si>
  <si>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TbL10nUI</t>
  </si>
  <si>
    <t>L10nUI</t>
  </si>
  <si>
    <t>多语言_UI@TableConfig.xlsx</t>
  </si>
  <si>
    <t>l10n_key</t>
  </si>
  <si>
    <t>TbL10nGame</t>
  </si>
  <si>
    <t>L10nGame</t>
  </si>
  <si>
    <t>多语言_游戏@TableConfig.xlsx</t>
  </si>
  <si>
    <t>TbAudio</t>
  </si>
  <si>
    <t>Audio</t>
  </si>
  <si>
    <t>游戏_音频@TableConfig.xlsx</t>
  </si>
  <si>
    <t>one</t>
  </si>
  <si>
    <t>GameCore.TbGSingleton</t>
  </si>
  <si>
    <t>GameSingletonCfg</t>
  </si>
  <si>
    <t>游戏_单例@TableConfig.xlsx</t>
  </si>
  <si>
    <t>GameActor.TbAdventurer</t>
  </si>
  <si>
    <t>AdventurerCfg</t>
  </si>
  <si>
    <t>角色_冒险者@TableConfig.xlsx</t>
  </si>
  <si>
    <t>GameActor.TbClass</t>
  </si>
  <si>
    <t>ClassCfg</t>
  </si>
  <si>
    <t>角色_职业@TableConfig.xlsx</t>
  </si>
  <si>
    <t>GameActor.TbSubrace</t>
  </si>
  <si>
    <t>SubraceCfg</t>
  </si>
  <si>
    <t>角色_种族_友方@TableConfig.xlsx,角色_种族_敌方@TableConfig.xlsx</t>
  </si>
  <si>
    <t>GameActor.TbItem</t>
  </si>
  <si>
    <t>ItemCfg</t>
  </si>
  <si>
    <t>角色_装备@TableConfig.xlsx,角色_奇物@TableConfig.xlsx</t>
  </si>
  <si>
    <t>位标记</t>
  </si>
  <si>
    <t>GameActor.TbWeaponBase</t>
  </si>
  <si>
    <t>WeaponBaseCfg</t>
  </si>
  <si>
    <t>角色_基础武器@TableConfig.xlsx</t>
  </si>
  <si>
    <t>GameActor.TbAbility</t>
  </si>
  <si>
    <t>AbilityCfg</t>
  </si>
  <si>
    <t>角色_能力@TableConfig.xlsx</t>
  </si>
  <si>
    <t>GameActor.TbPreset</t>
  </si>
  <si>
    <t>PresetCfg</t>
  </si>
  <si>
    <t>角色_预设_友方@TableConfig.xlsx,角色_预设_敌方@TableConfig.xlsx</t>
  </si>
  <si>
    <t>GameCombat.TbCampaign</t>
  </si>
  <si>
    <t>CampaignCfg</t>
  </si>
  <si>
    <t>战斗_战役@TableConfig.xlsx</t>
  </si>
  <si>
    <t>parent</t>
  </si>
  <si>
    <t>valueType</t>
  </si>
  <si>
    <t>sep</t>
  </si>
  <si>
    <t>alias</t>
  </si>
  <si>
    <t>*fields</t>
  </si>
  <si>
    <t>name</t>
  </si>
  <si>
    <t>type</t>
  </si>
  <si>
    <t>variants</t>
  </si>
  <si>
    <t>全名</t>
  </si>
  <si>
    <t>分割符</t>
  </si>
  <si>
    <t>别名</t>
  </si>
  <si>
    <t>字段名</t>
  </si>
  <si>
    <t>类型</t>
  </si>
  <si>
    <t>变体</t>
  </si>
  <si>
    <t>GameCore.Dice</t>
  </si>
  <si>
    <t>&amp;</t>
  </si>
  <si>
    <t>骰子</t>
  </si>
  <si>
    <t>amount</t>
  </si>
  <si>
    <t>int</t>
  </si>
  <si>
    <t>数量</t>
  </si>
  <si>
    <t>diceFaces</t>
  </si>
  <si>
    <t>骰子面数</t>
  </si>
  <si>
    <t>GameActor.Damage</t>
  </si>
  <si>
    <t>伤害</t>
  </si>
  <si>
    <t>dice</t>
  </si>
  <si>
    <t>数值</t>
  </si>
  <si>
    <t>damageType</t>
  </si>
  <si>
    <t>GameActor.EmDamageType</t>
  </si>
  <si>
    <t>GameActor.AttributePreset</t>
  </si>
  <si>
    <t>角色预设</t>
  </si>
  <si>
    <t>abilityScores</t>
  </si>
  <si>
    <t>GameActor.AbilityScore</t>
  </si>
  <si>
    <t>能力值</t>
  </si>
  <si>
    <t>resistance</t>
  </si>
  <si>
    <t>(map#sep=&amp;|),GameActor.EmDamageType,float</t>
  </si>
  <si>
    <t>伤害抗性</t>
  </si>
  <si>
    <t>armourClass</t>
  </si>
  <si>
    <t>护甲等级</t>
  </si>
  <si>
    <t>movement</t>
  </si>
  <si>
    <t>移动力</t>
  </si>
  <si>
    <t>initiative</t>
  </si>
  <si>
    <t>先攻</t>
  </si>
  <si>
    <t>abilities</t>
  </si>
  <si>
    <t>array,int</t>
  </si>
  <si>
    <t>能力</t>
  </si>
  <si>
    <t>strength</t>
  </si>
  <si>
    <t>力量</t>
  </si>
  <si>
    <t>dexterity</t>
  </si>
  <si>
    <t>敏捷</t>
  </si>
  <si>
    <t>constitution</t>
  </si>
  <si>
    <t>体质</t>
  </si>
  <si>
    <t>intelligent</t>
  </si>
  <si>
    <t>智力</t>
  </si>
  <si>
    <t>wisdom</t>
  </si>
  <si>
    <t>感知</t>
  </si>
  <si>
    <t>charisma</t>
  </si>
  <si>
    <t>魅力</t>
  </si>
  <si>
    <t>GameActor.ActorItemPreset</t>
  </si>
  <si>
    <t>预设角色道具</t>
  </si>
  <si>
    <t>mainHand</t>
  </si>
  <si>
    <t>int#ref=GameActor.TbItem?</t>
  </si>
  <si>
    <t>主手</t>
  </si>
  <si>
    <t>offHand</t>
  </si>
  <si>
    <t>副手</t>
  </si>
  <si>
    <t>body</t>
  </si>
  <si>
    <t>甲</t>
  </si>
  <si>
    <t>artifacts</t>
  </si>
  <si>
    <t>array,(int#ref=GameActor.TbItem?)</t>
  </si>
  <si>
    <t>奇物</t>
  </si>
  <si>
    <t>GameActor.MaxHp</t>
  </si>
  <si>
    <t>最大生命值</t>
  </si>
  <si>
    <t>GameActor.MaxHpFromDice</t>
  </si>
  <si>
    <t>^</t>
  </si>
  <si>
    <t>骰子生命值</t>
  </si>
  <si>
    <t>baseNumber</t>
  </si>
  <si>
    <t>基础值</t>
  </si>
  <si>
    <t>GameActor.MaxHpFromClass</t>
  </si>
  <si>
    <t>职业生命值</t>
  </si>
  <si>
    <t>GameActor.ItemInfo</t>
  </si>
  <si>
    <t>道具信息</t>
  </si>
  <si>
    <t>GameActor.EmptyInfo</t>
  </si>
  <si>
    <t>空占位符</t>
  </si>
  <si>
    <t>GameActor.WeaponInfo</t>
  </si>
  <si>
    <t>武器信息</t>
  </si>
  <si>
    <t>GameActor.EmEquipType</t>
  </si>
  <si>
    <t>基础类型</t>
  </si>
  <si>
    <t>GameActor.NArmourInfo</t>
  </si>
  <si>
    <t>|</t>
  </si>
  <si>
    <t>无甲信息</t>
  </si>
  <si>
    <t>GameActor.MArmourInfo</t>
  </si>
  <si>
    <t>轻甲信息</t>
  </si>
  <si>
    <t>GameActor.LArmourInfo</t>
  </si>
  <si>
    <t>中甲信息</t>
  </si>
  <si>
    <t>limited</t>
  </si>
  <si>
    <t>调整值上限</t>
  </si>
  <si>
    <t>GameActor.HArmourInfo</t>
  </si>
  <si>
    <t>重甲信息</t>
  </si>
  <si>
    <t>equipNeed</t>
  </si>
  <si>
    <t>装备力量需求</t>
  </si>
  <si>
    <t>GameActor.ShieldInfo</t>
  </si>
  <si>
    <t>盾牌信息</t>
  </si>
  <si>
    <t>GameActor.ArtifactInfo</t>
  </si>
  <si>
    <t>奇物信息</t>
  </si>
  <si>
    <t>GameCombat.SquadStance</t>
  </si>
  <si>
    <t>战队队形</t>
  </si>
  <si>
    <t>id</t>
  </si>
  <si>
    <t>角色id</t>
  </si>
  <si>
    <t>row</t>
  </si>
  <si>
    <t>排</t>
  </si>
  <si>
    <t>column</t>
  </si>
  <si>
    <t>列</t>
  </si>
  <si>
    <t>flags</t>
  </si>
  <si>
    <t>unique</t>
  </si>
  <si>
    <t>*items</t>
  </si>
  <si>
    <t>value</t>
  </si>
  <si>
    <t>是否为位标记枚举</t>
  </si>
  <si>
    <t>枚举项是否唯一</t>
  </si>
  <si>
    <t>枚举名</t>
  </si>
  <si>
    <t>值</t>
  </si>
  <si>
    <t>GameActor.EmAbilityScore</t>
  </si>
  <si>
    <t>角色能力值</t>
  </si>
  <si>
    <t>None</t>
  </si>
  <si>
    <t>无</t>
  </si>
  <si>
    <t>Strength</t>
  </si>
  <si>
    <t>Dexterity</t>
  </si>
  <si>
    <t>Constitution</t>
  </si>
  <si>
    <t>Intelligent</t>
  </si>
  <si>
    <t>Wisdom</t>
  </si>
  <si>
    <t>Charisma</t>
  </si>
  <si>
    <t>GameActor.EmClass</t>
  </si>
  <si>
    <t>职业</t>
  </si>
  <si>
    <t>Barbarian</t>
  </si>
  <si>
    <t>野蛮人</t>
  </si>
  <si>
    <t>Bard</t>
  </si>
  <si>
    <t>吟游诗人</t>
  </si>
  <si>
    <t>Cleric</t>
  </si>
  <si>
    <t>牧师</t>
  </si>
  <si>
    <t>Druid</t>
  </si>
  <si>
    <t>德鲁伊</t>
  </si>
  <si>
    <t>Fighter</t>
  </si>
  <si>
    <t>战士</t>
  </si>
  <si>
    <t>Monk</t>
  </si>
  <si>
    <t>武僧</t>
  </si>
  <si>
    <t>Paladin</t>
  </si>
  <si>
    <t>圣武士</t>
  </si>
  <si>
    <t>Ranger</t>
  </si>
  <si>
    <t>游侠</t>
  </si>
  <si>
    <t>Rogue</t>
  </si>
  <si>
    <t>游荡者</t>
  </si>
  <si>
    <t>Sorcerer</t>
  </si>
  <si>
    <t>术士</t>
  </si>
  <si>
    <t>Warlock</t>
  </si>
  <si>
    <t>邪术师</t>
  </si>
  <si>
    <t>Wizard</t>
  </si>
  <si>
    <t>法师</t>
  </si>
  <si>
    <t>伤害类型</t>
  </si>
  <si>
    <t>Acid</t>
  </si>
  <si>
    <t>强酸</t>
  </si>
  <si>
    <t>Cold</t>
  </si>
  <si>
    <t>冰冻</t>
  </si>
  <si>
    <t>Fire</t>
  </si>
  <si>
    <t>火焰</t>
  </si>
  <si>
    <t>Lighting</t>
  </si>
  <si>
    <t>闪电</t>
  </si>
  <si>
    <t>Poison</t>
  </si>
  <si>
    <t>毒素</t>
  </si>
  <si>
    <t>Bludgeoning</t>
  </si>
  <si>
    <t>钝击</t>
  </si>
  <si>
    <t>Piercing</t>
  </si>
  <si>
    <t>穿刺</t>
  </si>
  <si>
    <t>Slashing</t>
  </si>
  <si>
    <t>挥砍</t>
  </si>
  <si>
    <t>GameActor.EmWeaponType</t>
  </si>
  <si>
    <t>武器类型</t>
  </si>
  <si>
    <t>OneHand</t>
  </si>
  <si>
    <t>单手</t>
  </si>
  <si>
    <t>TwoHand</t>
  </si>
  <si>
    <t>双手</t>
  </si>
  <si>
    <t>基础武器</t>
  </si>
  <si>
    <t>NoArmour</t>
  </si>
  <si>
    <t>无甲</t>
  </si>
  <si>
    <t>LightArmour</t>
  </si>
  <si>
    <t>轻甲</t>
  </si>
  <si>
    <t>MediumArmour</t>
  </si>
  <si>
    <t>中甲</t>
  </si>
  <si>
    <t>HeavyArmour</t>
  </si>
  <si>
    <t>重甲</t>
  </si>
  <si>
    <t>Shield</t>
  </si>
  <si>
    <t>盾牌</t>
  </si>
  <si>
    <t>Club</t>
  </si>
  <si>
    <t>短棒</t>
  </si>
  <si>
    <t>Dagger</t>
  </si>
  <si>
    <t>匕首</t>
  </si>
  <si>
    <t>Greatclub</t>
  </si>
  <si>
    <t>巨棒</t>
  </si>
  <si>
    <t>Handaxe</t>
  </si>
  <si>
    <t>手斧</t>
  </si>
  <si>
    <t>Javelin</t>
  </si>
  <si>
    <t>标枪</t>
  </si>
  <si>
    <t>Quarterstaff</t>
  </si>
  <si>
    <t>长棍</t>
  </si>
  <si>
    <t>Sickle</t>
  </si>
  <si>
    <t>镰刀</t>
  </si>
  <si>
    <t>Spear</t>
  </si>
  <si>
    <t>矛</t>
  </si>
  <si>
    <t>LightCrossbow</t>
  </si>
  <si>
    <t>轻弩</t>
  </si>
  <si>
    <t>Dart</t>
  </si>
  <si>
    <t>飞镖</t>
  </si>
  <si>
    <t>Shortbow</t>
  </si>
  <si>
    <t>短弓</t>
  </si>
  <si>
    <t>Battleaxe</t>
  </si>
  <si>
    <t>战斧</t>
  </si>
  <si>
    <t>Flail</t>
  </si>
  <si>
    <t>链枷</t>
  </si>
  <si>
    <t>Greataxe</t>
  </si>
  <si>
    <t>巨斧</t>
  </si>
  <si>
    <t>Greatsword</t>
  </si>
  <si>
    <t>巨剑</t>
  </si>
  <si>
    <t>Longsword</t>
  </si>
  <si>
    <t>长剑</t>
  </si>
  <si>
    <t>Maul</t>
  </si>
  <si>
    <t>巨锤</t>
  </si>
  <si>
    <t>Pike</t>
  </si>
  <si>
    <t>长矛</t>
  </si>
  <si>
    <t>Rapier</t>
  </si>
  <si>
    <t>刺剑</t>
  </si>
  <si>
    <t>Scimiar</t>
  </si>
  <si>
    <t>弯刀</t>
  </si>
  <si>
    <t>ShortSword</t>
  </si>
  <si>
    <t>短剑</t>
  </si>
  <si>
    <t>Warhammer</t>
  </si>
  <si>
    <t>战锤</t>
  </si>
  <si>
    <t>HandCrossbow</t>
  </si>
  <si>
    <t>手弩</t>
  </si>
  <si>
    <t>HeavyCrossbow</t>
  </si>
  <si>
    <t>重弩</t>
  </si>
  <si>
    <t>Longbow</t>
  </si>
  <si>
    <t>长弓</t>
  </si>
  <si>
    <t>AllArmour</t>
  </si>
  <si>
    <t>所有护甲</t>
  </si>
  <si>
    <t>NoArmour|LightArmour|MediumArmour|HeavyArmour</t>
  </si>
  <si>
    <t>SimpleMelee</t>
  </si>
  <si>
    <t>简易近战</t>
  </si>
  <si>
    <t>Club|Dagger|Greatclub|Handaxe|Javelin|Quarterstaff|Sickle|Spear</t>
  </si>
  <si>
    <t>SimpleRanged</t>
  </si>
  <si>
    <t>简易远程</t>
  </si>
  <si>
    <t>LightCrossbow|Dart|Shortbow</t>
  </si>
  <si>
    <t>MartialMelee</t>
  </si>
  <si>
    <t>军用近战</t>
  </si>
  <si>
    <t>Battleaxe|Flail|Greataxe|Greatsword|Longsword|Maul|Pike|Rapier|Scimiar|ShortSword|Warhammer</t>
  </si>
  <si>
    <t>MartialRanged</t>
  </si>
  <si>
    <t>军用远程</t>
  </si>
  <si>
    <t>HandCrossbow|HeavyCrossbow|Longbow</t>
  </si>
  <si>
    <t>Simple</t>
  </si>
  <si>
    <t>简易武器</t>
  </si>
  <si>
    <t>SimpleMelee|SimpleRanged</t>
  </si>
  <si>
    <t>Martial</t>
  </si>
  <si>
    <t>军用武器</t>
  </si>
  <si>
    <t>MartialMelee|MartialRanged</t>
  </si>
  <si>
    <t>GameActor.EmBodyType</t>
  </si>
  <si>
    <t>角色体型</t>
  </si>
  <si>
    <t>Small</t>
  </si>
  <si>
    <t>小型</t>
  </si>
  <si>
    <t>Medium</t>
  </si>
  <si>
    <t>中型</t>
  </si>
  <si>
    <t>Large</t>
  </si>
  <si>
    <t>大型</t>
  </si>
  <si>
    <t>Gargantuan</t>
  </si>
  <si>
    <t>巨型</t>
  </si>
  <si>
    <t>GameActor.EmCreatureType</t>
  </si>
  <si>
    <t>生物类型</t>
  </si>
  <si>
    <t>Aberration</t>
  </si>
  <si>
    <t>异怪</t>
  </si>
  <si>
    <t>Beast</t>
  </si>
  <si>
    <t>野兽</t>
  </si>
  <si>
    <t>Celestial</t>
  </si>
  <si>
    <t>天界生物</t>
  </si>
  <si>
    <t>Constructs</t>
  </si>
  <si>
    <t>构造生物</t>
  </si>
  <si>
    <t>Dragons</t>
  </si>
  <si>
    <t>龙类</t>
  </si>
  <si>
    <t>Elementals</t>
  </si>
  <si>
    <t>元素生物</t>
  </si>
  <si>
    <t>Fey</t>
  </si>
  <si>
    <t>精类</t>
  </si>
  <si>
    <t>Fiends</t>
  </si>
  <si>
    <t>邪魔</t>
  </si>
  <si>
    <t>Giants</t>
  </si>
  <si>
    <t>巨人</t>
  </si>
  <si>
    <t>Humanoids</t>
  </si>
  <si>
    <t>类人</t>
  </si>
  <si>
    <t>Monstrosities</t>
  </si>
  <si>
    <t>怪兽</t>
  </si>
  <si>
    <t>Oozes</t>
  </si>
  <si>
    <t>泥怪</t>
  </si>
  <si>
    <t>Plant</t>
  </si>
  <si>
    <t>植物</t>
  </si>
  <si>
    <t>Undead</t>
  </si>
  <si>
    <t>不死生物</t>
  </si>
  <si>
    <t>GameActor.EmRace</t>
  </si>
  <si>
    <t>种族</t>
  </si>
  <si>
    <t>Human</t>
  </si>
  <si>
    <t>人类</t>
  </si>
  <si>
    <t>Dwarf</t>
  </si>
  <si>
    <t>矮人</t>
  </si>
  <si>
    <t>Elf</t>
  </si>
  <si>
    <t>精灵</t>
  </si>
  <si>
    <t>Halfling</t>
  </si>
  <si>
    <t>半身人</t>
  </si>
  <si>
    <t>Gnome</t>
  </si>
  <si>
    <t>侏儒</t>
  </si>
  <si>
    <t>HalfElf</t>
  </si>
  <si>
    <t>半精灵</t>
  </si>
  <si>
    <t>Dragonborn</t>
  </si>
  <si>
    <t>龙裔</t>
  </si>
  <si>
    <t>HalfOre</t>
  </si>
  <si>
    <t>半兽人</t>
  </si>
  <si>
    <t>Tiefling</t>
  </si>
  <si>
    <t>提夫林</t>
  </si>
  <si>
    <t>Goblin</t>
  </si>
  <si>
    <t>地精</t>
  </si>
  <si>
    <t>##序列号</t>
  </si>
  <si>
    <t>cn</t>
  </si>
  <si>
    <t>en</t>
  </si>
  <si>
    <t>##type</t>
  </si>
  <si>
    <t>string</t>
  </si>
  <si>
    <t>语言key</t>
  </si>
  <si>
    <t>中文</t>
  </si>
  <si>
    <t>英文</t>
  </si>
  <si>
    <t>game_title</t>
  </si>
  <si>
    <t>有趣的游戏</t>
  </si>
  <si>
    <t>Funny Game</t>
  </si>
  <si>
    <t>common_yes</t>
  </si>
  <si>
    <t>是</t>
  </si>
  <si>
    <t>Yes</t>
  </si>
  <si>
    <t>common_no</t>
  </si>
  <si>
    <t>否</t>
  </si>
  <si>
    <t>No</t>
  </si>
  <si>
    <t>common_help</t>
  </si>
  <si>
    <t>帮助</t>
  </si>
  <si>
    <t>Help</t>
  </si>
  <si>
    <t>main_play</t>
  </si>
  <si>
    <t>开始游戏</t>
  </si>
  <si>
    <t>Play</t>
  </si>
  <si>
    <t>main_new_game</t>
  </si>
  <si>
    <t>新游戏</t>
  </si>
  <si>
    <t>New Game</t>
  </si>
  <si>
    <t>main_continue</t>
  </si>
  <si>
    <t>继续游戏</t>
  </si>
  <si>
    <t>Continue</t>
  </si>
  <si>
    <t>main_load</t>
  </si>
  <si>
    <t>加载游戏</t>
  </si>
  <si>
    <t>Load</t>
  </si>
  <si>
    <t>main_settings</t>
  </si>
  <si>
    <t>设置</t>
  </si>
  <si>
    <t>Settings</t>
  </si>
  <si>
    <t>main_exit</t>
  </si>
  <si>
    <t>退出游戏</t>
  </si>
  <si>
    <t>Exit</t>
  </si>
  <si>
    <t>settings_display</t>
  </si>
  <si>
    <t>显示</t>
  </si>
  <si>
    <t>Display</t>
  </si>
  <si>
    <t>settings_windowed</t>
  </si>
  <si>
    <t>窗口化</t>
  </si>
  <si>
    <t>Windowed</t>
  </si>
  <si>
    <t>settings_full_screen</t>
  </si>
  <si>
    <t>全屏</t>
  </si>
  <si>
    <t>Full Screen</t>
  </si>
  <si>
    <t>settings_language</t>
  </si>
  <si>
    <t>语言</t>
  </si>
  <si>
    <t>Language</t>
  </si>
  <si>
    <t>settings_Chinese</t>
  </si>
  <si>
    <t>settings_English</t>
  </si>
  <si>
    <t>English</t>
  </si>
  <si>
    <t>settings_sound</t>
  </si>
  <si>
    <t>声音</t>
  </si>
  <si>
    <t>Sound</t>
  </si>
  <si>
    <t>settings_music_vol</t>
  </si>
  <si>
    <t>音乐</t>
  </si>
  <si>
    <t>Music</t>
  </si>
  <si>
    <t>settings_sfx_vol</t>
  </si>
  <si>
    <t>音效</t>
  </si>
  <si>
    <t>Sfx</t>
  </si>
  <si>
    <t>game_name</t>
  </si>
  <si>
    <t>##column##var</t>
  </si>
  <si>
    <t>描述</t>
  </si>
  <si>
    <t>资源名</t>
  </si>
  <si>
    <t>enter_btn</t>
  </si>
  <si>
    <t>按钮_悬停</t>
  </si>
  <si>
    <t>sfx_button_enter</t>
  </si>
  <si>
    <t>click_btn</t>
  </si>
  <si>
    <t>按钮_点击</t>
  </si>
  <si>
    <t>sfx_button_click</t>
  </si>
  <si>
    <t>enter_tgl</t>
  </si>
  <si>
    <t>切换_悬停</t>
  </si>
  <si>
    <t>click_tgl</t>
  </si>
  <si>
    <t>切换_点击</t>
  </si>
  <si>
    <t>drag_bar_music</t>
  </si>
  <si>
    <t>进度条_拖拽_测试音乐</t>
  </si>
  <si>
    <t>music_main_menu</t>
  </si>
  <si>
    <t>drag_bar_sfx</t>
  </si>
  <si>
    <t>进度条_拖拽_测试音效</t>
  </si>
  <si>
    <t>main_menu_bgm</t>
  </si>
  <si>
    <t>主菜单_背景乐</t>
  </si>
  <si>
    <t>game_bgm</t>
  </si>
  <si>
    <t>游戏_背景乐</t>
  </si>
  <si>
    <t>music_game</t>
  </si>
  <si>
    <t>pop_out</t>
  </si>
  <si>
    <t>弹窗_弹出</t>
  </si>
  <si>
    <t>sfx_pop_out</t>
  </si>
  <si>
    <t>pop_move</t>
  </si>
  <si>
    <t>弹窗_移动</t>
  </si>
  <si>
    <t>sfx_pop_move</t>
  </si>
  <si>
    <t>pop_hide</t>
  </si>
  <si>
    <t>弹窗_隐藏</t>
  </si>
  <si>
    <t>sfx_pop_hide</t>
  </si>
  <si>
    <t>battle_map_length</t>
  </si>
  <si>
    <t>战役地图边长</t>
  </si>
  <si>
    <t>battle_down_round_count_max</t>
  </si>
  <si>
    <t>战斗倒地回合计数上限</t>
  </si>
  <si>
    <t>artifact_field</t>
  </si>
  <si>
    <t>奇物栏位数量上限</t>
  </si>
  <si>
    <t>default_abilities</t>
  </si>
  <si>
    <t>(array#sep=|), int</t>
  </si>
  <si>
    <t>默认能力</t>
  </si>
  <si>
    <t>唯一id</t>
  </si>
  <si>
    <t>名字</t>
  </si>
  <si>
    <t>race</t>
  </si>
  <si>
    <t>creature_type</t>
  </si>
  <si>
    <t>body_type</t>
  </si>
  <si>
    <t>proficiency</t>
  </si>
  <si>
    <t>attribute_preset</t>
  </si>
  <si>
    <t>##能力表索引</t>
  </si>
  <si>
    <t>名称</t>
  </si>
  <si>
    <t>类别</t>
  </si>
  <si>
    <t>体型</t>
  </si>
  <si>
    <t>装备熟练</t>
  </si>
  <si>
    <t>能力表</t>
  </si>
  <si>
    <t>简易武器|轻甲|中甲</t>
  </si>
  <si>
    <t>无&amp;0</t>
  </si>
  <si>
    <t>丘陵矮人</t>
  </si>
  <si>
    <t>简易武器|中甲|重甲|战斧|战锤</t>
  </si>
  <si>
    <t>毒素&amp;0.5</t>
  </si>
  <si>
    <t>高山矮人</t>
  </si>
  <si>
    <t>木精灵</t>
  </si>
  <si>
    <t>简易武器|短弓|长弓</t>
  </si>
  <si>
    <t>高精灵</t>
  </si>
  <si>
    <t>简易武器|长剑|长弓</t>
  </si>
  <si>
    <t>火焰&amp;0.5</t>
  </si>
  <si>
    <t>subrace</t>
  </si>
  <si>
    <t>##亚种索引</t>
  </si>
  <si>
    <t>level</t>
  </si>
  <si>
    <t>clasz</t>
  </si>
  <si>
    <t>expOnKilled</t>
  </si>
  <si>
    <t>max_hp</t>
  </si>
  <si>
    <t>item_preset1</t>
  </si>
  <si>
    <t>item_preset2</t>
  </si>
  <si>
    <t>##道具预设id索引</t>
  </si>
  <si>
    <t>knapsack_items</t>
  </si>
  <si>
    <t>int#ref=GameActor.TbSubrace</t>
  </si>
  <si>
    <t>map,GameActor.EmClass,int</t>
  </si>
  <si>
    <t>map,(int#ref=GameActor.TbItem),float</t>
  </si>
  <si>
    <t>$type</t>
  </si>
  <si>
    <t>MainHand</t>
  </si>
  <si>
    <t>OffHand</t>
  </si>
  <si>
    <t>Body</t>
  </si>
  <si>
    <t>Artifacts</t>
  </si>
  <si>
    <t>亚种</t>
  </si>
  <si>
    <t>角色等级</t>
  </si>
  <si>
    <t>等级</t>
  </si>
  <si>
    <t>击杀经验</t>
  </si>
  <si>
    <t>生命值类型</t>
  </si>
  <si>
    <t>加成</t>
  </si>
  <si>
    <t>主手装备</t>
  </si>
  <si>
    <t>副手装备</t>
  </si>
  <si>
    <t>身体装备</t>
  </si>
  <si>
    <t>道具id</t>
  </si>
  <si>
    <t>出现概率</t>
  </si>
  <si>
    <t>安缇洛雅·阿玛斯塔夏</t>
  </si>
  <si>
    <t>索林·白须</t>
  </si>
  <si>
    <t>彻宁·格拉尔</t>
  </si>
  <si>
    <t>凯芙拉·斯托维恩</t>
  </si>
  <si>
    <t>梅·文</t>
  </si>
  <si>
    <t>米亚斯坦·樱木</t>
  </si>
  <si>
    <t>人类平民</t>
  </si>
  <si>
    <t>商队护卫</t>
  </si>
  <si>
    <t>商队弩手</t>
  </si>
  <si>
    <t>商队领袖·矮人</t>
  </si>
  <si>
    <t>矮人勇士</t>
  </si>
  <si>
    <t>矮人碎铁近卫</t>
  </si>
  <si>
    <t>类地精</t>
  </si>
  <si>
    <t>地精盾刀手</t>
  </si>
  <si>
    <t>2&amp;6</t>
  </si>
  <si>
    <t/>
  </si>
  <si>
    <t>地精长矛手</t>
  </si>
  <si>
    <t>地精弓箭手</t>
  </si>
  <si>
    <t>地精双刀手</t>
  </si>
  <si>
    <t>地精军阀</t>
  </si>
  <si>
    <t>6&amp;6</t>
  </si>
  <si>
    <t>熊地精</t>
  </si>
  <si>
    <t>5&amp;8</t>
  </si>
  <si>
    <t>type_info</t>
  </si>
  <si>
    <t>##价格</t>
  </si>
  <si>
    <t>price</t>
  </si>
  <si>
    <t>description</t>
  </si>
  <si>
    <t>装备信息</t>
  </si>
  <si>
    <t>信息内容</t>
  </si>
  <si>
    <t>铜币(cp)</t>
  </si>
  <si>
    <t>银币(sp)</t>
  </si>
  <si>
    <t>银金币(ep)</t>
  </si>
  <si>
    <t>金币(gp)</t>
  </si>
  <si>
    <t>铂金币(pp)</t>
  </si>
  <si>
    <t>价格(cp)</t>
  </si>
  <si>
    <t>文本描述</t>
  </si>
  <si>
    <t>布袍</t>
  </si>
  <si>
    <t>布甲</t>
  </si>
  <si>
    <t>皮甲</t>
  </si>
  <si>
    <t>镶钉皮甲</t>
  </si>
  <si>
    <t>兽皮甲</t>
  </si>
  <si>
    <t>链甲衫</t>
  </si>
  <si>
    <t>鳞甲</t>
  </si>
  <si>
    <t>胸甲</t>
  </si>
  <si>
    <t>半身板甲</t>
  </si>
  <si>
    <t>环甲</t>
  </si>
  <si>
    <t>链甲</t>
  </si>
  <si>
    <t>板条甲</t>
  </si>
  <si>
    <t>板甲</t>
  </si>
  <si>
    <t>辉黯</t>
  </si>
  <si>
    <t>价格</t>
  </si>
  <si>
    <t>治疗药水</t>
  </si>
  <si>
    <t>高等治疗药水</t>
  </si>
  <si>
    <t>特效治疗药水</t>
  </si>
  <si>
    <t>极效治疗药水</t>
  </si>
  <si>
    <t>damge_dice</t>
  </si>
  <si>
    <t>ability_addtion</t>
  </si>
  <si>
    <t>range</t>
  </si>
  <si>
    <t>position</t>
  </si>
  <si>
    <t>调整值加成</t>
  </si>
  <si>
    <t>范围</t>
  </si>
  <si>
    <t>位置</t>
  </si>
  <si>
    <t>1&amp;4</t>
  </si>
  <si>
    <t>1&amp;8</t>
  </si>
  <si>
    <t>1&amp;6</t>
  </si>
  <si>
    <t>1&amp;10</t>
  </si>
  <si>
    <t>1&amp;12</t>
  </si>
  <si>
    <t>攻击</t>
  </si>
  <si>
    <t>使用武器攻击</t>
  </si>
  <si>
    <t>矮人坚韧</t>
  </si>
  <si>
    <t>（被动）生命值+1，每级额外+1</t>
  </si>
  <si>
    <t>凶蛮攻击</t>
  </si>
  <si>
    <t>（被动）使用近战武器攻击造成重击时，你可以额外掷一个该武器的伤害骰（双倍暴击伤害）</t>
  </si>
  <si>
    <t>幸运</t>
  </si>
  <si>
    <t>（被动-战术一次）当攻击检定掷出 1 时，再重掷一次。</t>
  </si>
  <si>
    <t>侏儒狡黠</t>
  </si>
  <si>
    <t>（被动）对抗智力、感知和魅力豁免时具有优势</t>
  </si>
  <si>
    <t>吐息武器</t>
  </si>
  <si>
    <t>（战术一次）（主要动作）使用吐息时，你吐息所有前排与中排目标的每个生物都必须进排一次豁免，其豁免类型取决于你的龙族血统。该豁免的 DC 等于 8＋你的体质调整值＋你的熟练加值。豁免失败者将受到 2d6 点伤害。豁免成功则伤害减半。其伤害值在 6 级时增加到 3d6。</t>
  </si>
  <si>
    <t>炼狱叱喝</t>
  </si>
  <si>
    <t>（3回合冷却）（反应动作）-你伸指一点，伤害你的生物立刻被炼狱的烈焰包围。该生物必须进排一次敏捷豁免，豁免失败则受到 2d6 点火焰伤害，豁免成功则伤害减半。其伤害值在3级时增加到2D10。在6级时增加到2D12</t>
  </si>
  <si>
    <t>坚韧不屈</t>
  </si>
  <si>
    <t>（战术一次-被动）坚韧不屈-当你 HP 降至 0 时，可以改为使 HP 降至 1</t>
  </si>
  <si>
    <t>至圣斩</t>
  </si>
  <si>
    <t>（1环）在战斗准备阶段使用，消耗1环，点亮武器使下一次物理攻击额外造成2D8神圣伤害。</t>
  </si>
  <si>
    <t>圣疗术</t>
  </si>
  <si>
    <t>（战斗一次）治疗20点生命值。（优先治疗自己，溢出部分治疗最近的友军）</t>
  </si>
  <si>
    <t>冷冻射线</t>
  </si>
  <si>
    <t>远程法术攻击6格。若命中，则目标受到 1d8 点寒冷伤害，
并且在你的下一回合开始前移动力减少 2格。
 5 级时，该法术的伤害增加 1d8（变为 2d8）。11 级时再加 1d8（变为 3d8）</t>
  </si>
  <si>
    <t>火焰箭</t>
  </si>
  <si>
    <t>远程法术攻击6格。若命中，则目标受到 1d10 点火焰伤害。
你到达 5 级时，该法术的伤害增加 1d10（变为 2d10）
11级时再加 1d10（变为 3d10），</t>
  </si>
  <si>
    <t>突袭打击</t>
  </si>
  <si>
    <t>（被动-战术一次）熊地精突袭一个生物，并在战斗开始后第一轮中发动攻击命中该生物时，该目标将在该次攻击中额外受到 （2d6）的钝击伤害。</t>
  </si>
  <si>
    <t>回气</t>
  </si>
  <si>
    <t>（战术一次）在战斗准备阶段用一个附赠动作恢复生命值，其总值为 1d10＋你的战
士职业等级。</t>
  </si>
  <si>
    <t>动作如潮</t>
  </si>
  <si>
    <t>（战术一次）在战斗准备阶段使用，你可以在短时间内突破极限，以使你在回合内执排一次额外的攻击。</t>
  </si>
  <si>
    <t>巨武器战斗</t>
  </si>
  <si>
    <t>（被动）双手持用一把近战武器发动攻击时，如果你的伤害掷骰掷出1 或 2，则重新掷。</t>
  </si>
  <si>
    <t>自然探索者</t>
  </si>
  <si>
    <t>（被动）领导小队时，小队在森林和草地上的移动力+2格，先攻+1。</t>
  </si>
  <si>
    <t>圣火术</t>
  </si>
  <si>
    <t>（戏法）远程法术攻击6格，如同火焰般的辉光向施法距离内你能看见的一个生物倾泻
而下。目标受到 1d8 点光耀伤害。</t>
  </si>
  <si>
    <t>祝福术</t>
  </si>
  <si>
    <t>（1环）战斗准备阶段使用，使全队命中骰额外增加2点。</t>
  </si>
  <si>
    <t>治愈真言</t>
  </si>
  <si>
    <t>（1环）战斗准备阶段使用，你指定队伍内一个生物并恢复其生命值，恢复量等于 1d4＋你的施法关键属性调整值。</t>
  </si>
  <si>
    <t>诗人激励</t>
  </si>
  <si>
    <t>（战术三次）战斗准备阶段使用，你指定队伍内一个生物，使其下次命中骰额外增加D6。</t>
  </si>
  <si>
    <t>恶言相加</t>
  </si>
  <si>
    <t>（戏法）远程法术攻击6格，你对施法距离内一个你能看见的生物连珠炮式的说出一串
蕴涵魔力的咒骂。目标受到D4点心灵伤害，其下一次攻击检定具有劣势。</t>
  </si>
  <si>
    <t>塔莎狂笑术</t>
  </si>
  <si>
    <t>（1环）战斗准备阶段使用，指定一个你能看见的敌方生物，如果该生物可受法术
影响，则一切事物在该生物眼中都变得滑稽可笑，使它开始狂笑起来。俯身倒地，并在
1回时间内无法起立。</t>
  </si>
  <si>
    <t>魔法飞弹</t>
  </si>
  <si>
    <t>（1环）远程法术攻击6格，近战命中率不减，对敌方生命值最低的单位造成1D4+1伤害，重复三次。</t>
  </si>
  <si>
    <t>燃烧之手</t>
  </si>
  <si>
    <t>（1环）近战魔法范围攻击，对敌方前排所有单位照成2D6火焰伤害。</t>
  </si>
  <si>
    <t>*squads</t>
  </si>
  <si>
    <t>map,string,(array,GameCombat.SquadStance)</t>
  </si>
  <si>
    <t>军队名称</t>
  </si>
  <si>
    <t>小队名称</t>
  </si>
  <si>
    <t>地精巢穴</t>
  </si>
  <si>
    <t>军阀小队</t>
  </si>
  <si>
    <t>熊地精小队</t>
  </si>
  <si>
    <t>主角团</t>
  </si>
  <si>
    <t>安缇队</t>
  </si>
  <si>
    <t>白须队</t>
  </si>
  <si>
    <t>父类别</t>
  </si>
  <si>
    <t>子类别</t>
  </si>
  <si>
    <t>角色</t>
  </si>
  <si>
    <t>所有可以参与战斗的单位</t>
  </si>
  <si>
    <t>冒险者</t>
  </si>
  <si>
    <t>拥有自主构建属性值、能力的角色</t>
  </si>
  <si>
    <t>属性</t>
  </si>
  <si>
    <t>物理类：体力、力量、敏捷；魔法类：智力，魅力，感知</t>
  </si>
  <si>
    <t>抗性</t>
  </si>
  <si>
    <t>资源</t>
  </si>
  <si>
    <t>生命值</t>
  </si>
  <si>
    <t>法术位</t>
  </si>
  <si>
    <t>物品</t>
  </si>
  <si>
    <t>装备</t>
  </si>
  <si>
    <t>武器</t>
  </si>
  <si>
    <t>防具</t>
  </si>
  <si>
    <t>护甲</t>
  </si>
  <si>
    <t>能力可以在角色战斗中触发，</t>
  </si>
  <si>
    <t>主动能力</t>
  </si>
  <si>
    <t>角色主动触发</t>
  </si>
  <si>
    <t>被动能力</t>
  </si>
  <si>
    <t>反应能力</t>
  </si>
  <si>
    <t>小队</t>
  </si>
  <si>
    <t>军团</t>
  </si>
  <si>
    <t>角色职业</t>
  </si>
  <si>
    <t>生物类别</t>
  </si>
  <si>
    <t>类人种族</t>
  </si>
  <si>
    <t>亚种列表</t>
  </si>
  <si>
    <t>装备类型</t>
  </si>
  <si>
    <t>武器伤害类型</t>
  </si>
  <si>
    <t>武器伤害骰</t>
  </si>
  <si>
    <t>武器位置</t>
  </si>
  <si>
    <t>整编</t>
  </si>
  <si>
    <t>技能</t>
  </si>
  <si>
    <t>疾跑</t>
  </si>
  <si>
    <t>待命</t>
  </si>
  <si>
    <t>逃跑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</si>
</sst>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等线"/>
      <charset val="134"/>
    </font>
    <font>
      <b/>
      <sz val="11"/>
      <color rgb="FF3F3F3F"/>
      <name val="等线"/>
      <charset val="134"/>
    </font>
    <font>
      <sz val="11"/>
      <color rgb="FF000000"/>
      <name val="等线"/>
      <charset val="134"/>
    </font>
    <font>
      <sz val="11"/>
      <color rgb="FF3F3F76"/>
      <name val="等线"/>
      <charset val="134"/>
    </font>
    <font>
      <b/>
      <sz val="11"/>
      <color rgb="FF000000"/>
      <name val="等线"/>
      <charset val="134"/>
    </font>
    <font>
      <sz val="10"/>
      <color rgb="FF000000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9"/>
      <color rgb="FF000000"/>
      <name val="等线"/>
      <charset val="134"/>
    </font>
    <font>
      <sz val="8"/>
      <color rgb="FF000000"/>
      <name val="宋体"/>
      <charset val="134"/>
    </font>
    <font>
      <sz val="7"/>
      <color rgb="FF000000"/>
      <name val="SimHei3"/>
      <charset val="134"/>
    </font>
    <font>
      <u/>
      <sz val="11"/>
      <color rgb="FF800080"/>
      <name val="等线"/>
      <charset val="134"/>
    </font>
    <font>
      <u/>
      <sz val="11"/>
      <color rgb="FF0000FF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7F7F7F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/>
      <bottom style="thin">
        <color auto="1"/>
      </bottom>
      <diagonal/>
    </border>
    <border>
      <left style="thin">
        <color rgb="FF3F3F3F"/>
      </left>
      <right style="thin">
        <color rgb="FF7F7F7F"/>
      </right>
      <top/>
      <bottom style="thin">
        <color auto="1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2" fillId="0" borderId="0">
      <alignment vertical="top"/>
      <protection locked="0"/>
    </xf>
    <xf numFmtId="0" fontId="14" fillId="0" borderId="0" applyNumberFormat="0" applyFill="0" applyBorder="0" applyAlignment="0" applyProtection="0">
      <alignment vertical="center"/>
    </xf>
    <xf numFmtId="0" fontId="2" fillId="4" borderId="2">
      <alignment vertical="top"/>
      <protection locked="0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5" borderId="6">
      <alignment vertical="top"/>
      <protection locked="0"/>
    </xf>
    <xf numFmtId="0" fontId="1" fillId="2" borderId="1">
      <alignment vertical="top"/>
      <protection locked="0"/>
    </xf>
    <xf numFmtId="0" fontId="21" fillId="2" borderId="6" applyNumberFormat="0" applyAlignment="0" applyProtection="0">
      <alignment vertical="center"/>
    </xf>
    <xf numFmtId="0" fontId="22" fillId="16" borderId="27" applyNumberFormat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6" fillId="6" borderId="0">
      <alignment vertical="top"/>
      <protection locked="0"/>
    </xf>
    <xf numFmtId="0" fontId="7" fillId="7" borderId="0">
      <alignment vertical="top"/>
      <protection locked="0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</cellStyleXfs>
  <cellXfs count="182">
    <xf numFmtId="0" fontId="0" fillId="0" borderId="0" xfId="0">
      <alignment vertical="center"/>
    </xf>
    <xf numFmtId="0" fontId="1" fillId="2" borderId="1" xfId="17" applyAlignment="1" applyProtection="1"/>
    <xf numFmtId="0" fontId="2" fillId="0" borderId="0" xfId="0" applyFont="1" applyAlignment="1">
      <alignment horizontal="center" vertical="center"/>
    </xf>
    <xf numFmtId="0" fontId="1" fillId="2" borderId="1" xfId="17" applyNumberFormat="1" applyAlignment="1" applyProtection="1"/>
    <xf numFmtId="0" fontId="1" fillId="2" borderId="1" xfId="17" applyFont="1" applyAlignment="1" applyProtection="1"/>
    <xf numFmtId="0" fontId="2" fillId="0" borderId="0" xfId="0" applyFont="1" applyFill="1" applyAlignment="1"/>
    <xf numFmtId="0" fontId="2" fillId="0" borderId="0" xfId="0" applyFont="1" applyAlignment="1">
      <alignment horizontal="left" vertical="center"/>
    </xf>
    <xf numFmtId="0" fontId="2" fillId="0" borderId="2" xfId="8" applyFont="1" applyFill="1" applyAlignment="1" applyProtection="1">
      <alignment horizontal="left" vertical="center"/>
    </xf>
    <xf numFmtId="0" fontId="2" fillId="0" borderId="0" xfId="0" applyNumberFormat="1" applyFont="1" applyAlignment="1"/>
    <xf numFmtId="0" fontId="1" fillId="2" borderId="1" xfId="17" applyAlignment="1" applyProtection="1">
      <alignment horizontal="center" vertical="center"/>
    </xf>
    <xf numFmtId="0" fontId="2" fillId="0" borderId="0" xfId="0" applyFont="1" applyAlignment="1"/>
    <xf numFmtId="0" fontId="2" fillId="3" borderId="3" xfId="0" applyFont="1" applyFill="1" applyBorder="1" applyAlignment="1"/>
    <xf numFmtId="0" fontId="2" fillId="4" borderId="3" xfId="0" applyFont="1" applyFill="1" applyBorder="1" applyAlignment="1"/>
    <xf numFmtId="0" fontId="2" fillId="5" borderId="3" xfId="0" applyFont="1" applyFill="1" applyBorder="1" applyAlignment="1"/>
    <xf numFmtId="0" fontId="2" fillId="2" borderId="1" xfId="0" applyFont="1" applyFill="1" applyBorder="1" applyAlignment="1"/>
    <xf numFmtId="0" fontId="2" fillId="0" borderId="0" xfId="0" applyFont="1" applyAlignment="1">
      <alignment horizontal="left"/>
    </xf>
    <xf numFmtId="0" fontId="2" fillId="5" borderId="2" xfId="0" applyFont="1" applyFill="1" applyBorder="1" applyAlignment="1"/>
    <xf numFmtId="0" fontId="2" fillId="4" borderId="2" xfId="0" applyFont="1" applyFill="1" applyBorder="1" applyAlignment="1"/>
    <xf numFmtId="0" fontId="1" fillId="2" borderId="1" xfId="17" applyFill="1" applyBorder="1" applyAlignment="1" applyProtection="1">
      <alignment horizontal="left"/>
    </xf>
    <xf numFmtId="0" fontId="1" fillId="2" borderId="1" xfId="17" applyFill="1" applyBorder="1" applyAlignment="1" applyProtection="1">
      <alignment horizontal="center"/>
    </xf>
    <xf numFmtId="0" fontId="2" fillId="0" borderId="0" xfId="0" applyFont="1">
      <alignment vertical="center"/>
    </xf>
    <xf numFmtId="0" fontId="2" fillId="5" borderId="4" xfId="0" applyFont="1" applyFill="1" applyBorder="1" applyAlignment="1"/>
    <xf numFmtId="0" fontId="2" fillId="4" borderId="4" xfId="0" applyFont="1" applyFill="1" applyBorder="1" applyAlignment="1"/>
    <xf numFmtId="0" fontId="2" fillId="2" borderId="5" xfId="0" applyFont="1" applyFill="1" applyBorder="1" applyAlignment="1"/>
    <xf numFmtId="0" fontId="2" fillId="0" borderId="0" xfId="0" applyFont="1" applyAlignment="1">
      <alignment horizontal="left" vertical="center" wrapText="1"/>
    </xf>
    <xf numFmtId="0" fontId="1" fillId="2" borderId="1" xfId="17" applyAlignment="1" applyProtection="1">
      <alignment horizontal="left"/>
    </xf>
    <xf numFmtId="0" fontId="1" fillId="2" borderId="1" xfId="17" applyAlignment="1" applyProtection="1">
      <alignment horizontal="left" vertical="center" wrapText="1"/>
    </xf>
    <xf numFmtId="0" fontId="1" fillId="2" borderId="1" xfId="17" applyFont="1" applyAlignment="1" applyProtection="1">
      <alignment horizontal="left"/>
    </xf>
    <xf numFmtId="0" fontId="1" fillId="2" borderId="1" xfId="17" applyAlignment="1" applyProtection="1">
      <alignment horizontal="left" vertical="center"/>
    </xf>
    <xf numFmtId="0" fontId="1" fillId="2" borderId="1" xfId="17" applyAlignment="1" applyProtection="1">
      <alignment horizontal="center"/>
    </xf>
    <xf numFmtId="0" fontId="2" fillId="5" borderId="6" xfId="16" applyAlignment="1" applyProtection="1"/>
    <xf numFmtId="0" fontId="2" fillId="4" borderId="2" xfId="8" applyAlignment="1" applyProtection="1"/>
    <xf numFmtId="0" fontId="2" fillId="5" borderId="6" xfId="16" applyNumberFormat="1" applyAlignment="1" applyProtection="1">
      <alignment horizontal="center" vertical="center"/>
    </xf>
    <xf numFmtId="0" fontId="2" fillId="4" borderId="2" xfId="8" applyNumberFormat="1" applyAlignment="1" applyProtection="1">
      <alignment horizontal="center" vertical="center"/>
    </xf>
    <xf numFmtId="0" fontId="3" fillId="4" borderId="2" xfId="8" applyFont="1" applyAlignment="1" applyProtection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1" xfId="17" applyFont="1" applyBorder="1" applyAlignment="1" applyProtection="1">
      <alignment horizontal="center" vertical="center"/>
    </xf>
    <xf numFmtId="0" fontId="1" fillId="2" borderId="1" xfId="17" applyFont="1" applyAlignment="1" applyProtection="1">
      <alignment horizontal="left" vertical="center"/>
    </xf>
    <xf numFmtId="0" fontId="1" fillId="2" borderId="1" xfId="17" applyFont="1" applyBorder="1" applyAlignment="1" applyProtection="1">
      <alignment horizontal="center" vertical="center" wrapText="1"/>
    </xf>
    <xf numFmtId="0" fontId="1" fillId="2" borderId="1" xfId="17" applyFont="1" applyAlignment="1" applyProtection="1">
      <alignment horizontal="center" vertical="center" wrapText="1"/>
    </xf>
    <xf numFmtId="0" fontId="1" fillId="2" borderId="1" xfId="17" applyFont="1" applyAlignment="1" applyProtection="1">
      <alignment horizontal="left" vertical="center" wrapText="1"/>
    </xf>
    <xf numFmtId="0" fontId="1" fillId="2" borderId="7" xfId="17" applyFont="1" applyBorder="1" applyAlignment="1" applyProtection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0" fontId="2" fillId="4" borderId="2" xfId="0" applyFont="1" applyFill="1" applyBorder="1" applyAlignment="1">
      <alignment horizontal="center" vertical="center"/>
    </xf>
    <xf numFmtId="0" fontId="2" fillId="4" borderId="2" xfId="16" applyFont="1" applyFill="1" applyBorder="1" applyAlignment="1" applyProtection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16" applyFont="1" applyFill="1" applyBorder="1" applyAlignment="1" applyProtection="1">
      <alignment horizontal="left" vertical="center"/>
    </xf>
    <xf numFmtId="0" fontId="2" fillId="5" borderId="2" xfId="16" applyFill="1" applyBorder="1" applyAlignment="1" applyProtection="1">
      <alignment horizontal="left" vertical="center"/>
    </xf>
    <xf numFmtId="0" fontId="2" fillId="4" borderId="2" xfId="16" applyFill="1" applyBorder="1" applyAlignment="1" applyProtection="1">
      <alignment horizontal="left" vertical="center"/>
    </xf>
    <xf numFmtId="0" fontId="1" fillId="5" borderId="2" xfId="17" applyFont="1" applyFill="1" applyBorder="1" applyAlignment="1" applyProtection="1">
      <alignment horizontal="left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5" borderId="2" xfId="0" applyNumberFormat="1" applyFont="1" applyFill="1" applyBorder="1" applyAlignment="1">
      <alignment horizontal="left" vertical="center" wrapText="1"/>
    </xf>
    <xf numFmtId="0" fontId="1" fillId="2" borderId="5" xfId="17" applyFont="1" applyBorder="1" applyAlignment="1" applyProtection="1">
      <alignment horizontal="left" vertical="center" wrapText="1"/>
    </xf>
    <xf numFmtId="0" fontId="2" fillId="0" borderId="0" xfId="0" applyNumberFormat="1" applyFont="1" applyAlignment="1">
      <alignment horizontal="left" vertical="center" wrapText="1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wrapText="1"/>
    </xf>
    <xf numFmtId="0" fontId="2" fillId="5" borderId="2" xfId="0" applyNumberFormat="1" applyFont="1" applyFill="1" applyBorder="1" applyAlignment="1">
      <alignment horizontal="left" wrapText="1"/>
    </xf>
    <xf numFmtId="0" fontId="2" fillId="0" borderId="0" xfId="0" applyNumberFormat="1" applyFont="1" applyAlignment="1">
      <alignment wrapText="1"/>
    </xf>
    <xf numFmtId="0" fontId="2" fillId="5" borderId="6" xfId="0" applyFont="1" applyFill="1" applyBorder="1" applyAlignment="1"/>
    <xf numFmtId="0" fontId="1" fillId="2" borderId="1" xfId="17" applyFont="1" applyFill="1" applyBorder="1" applyAlignment="1" applyProtection="1">
      <alignment horizontal="center" vertical="center"/>
    </xf>
    <xf numFmtId="0" fontId="4" fillId="2" borderId="1" xfId="8" applyFont="1" applyFill="1" applyBorder="1" applyAlignment="1" applyProtection="1">
      <alignment horizontal="center" vertical="center"/>
    </xf>
    <xf numFmtId="0" fontId="2" fillId="4" borderId="4" xfId="8" applyBorder="1" applyAlignment="1" applyProtection="1"/>
    <xf numFmtId="0" fontId="2" fillId="5" borderId="8" xfId="16" applyNumberFormat="1" applyBorder="1" applyAlignment="1" applyProtection="1">
      <alignment horizontal="center"/>
    </xf>
    <xf numFmtId="0" fontId="2" fillId="5" borderId="8" xfId="16" applyBorder="1" applyAlignment="1" applyProtection="1">
      <alignment horizontal="center" vertical="center"/>
    </xf>
    <xf numFmtId="0" fontId="2" fillId="5" borderId="6" xfId="16" applyFont="1" applyAlignment="1" applyProtection="1">
      <alignment horizontal="center" vertical="center"/>
    </xf>
    <xf numFmtId="0" fontId="2" fillId="5" borderId="6" xfId="16" applyNumberFormat="1" applyAlignment="1" applyProtection="1">
      <alignment horizontal="center"/>
    </xf>
    <xf numFmtId="0" fontId="2" fillId="5" borderId="6" xfId="16" applyAlignment="1" applyProtection="1">
      <alignment horizontal="center" vertical="center"/>
    </xf>
    <xf numFmtId="0" fontId="1" fillId="2" borderId="7" xfId="17" applyFont="1" applyFill="1" applyBorder="1" applyAlignment="1" applyProtection="1">
      <alignment horizontal="center" vertical="center"/>
    </xf>
    <xf numFmtId="0" fontId="2" fillId="5" borderId="8" xfId="16" applyBorder="1" applyAlignment="1" applyProtection="1">
      <alignment horizontal="center"/>
    </xf>
    <xf numFmtId="0" fontId="2" fillId="5" borderId="8" xfId="16" applyFont="1" applyBorder="1" applyAlignment="1" applyProtection="1">
      <alignment horizontal="center"/>
    </xf>
    <xf numFmtId="0" fontId="2" fillId="5" borderId="6" xfId="16" applyAlignment="1" applyProtection="1">
      <alignment horizontal="center"/>
    </xf>
    <xf numFmtId="0" fontId="2" fillId="5" borderId="6" xfId="16" applyFont="1" applyAlignment="1" applyProtection="1">
      <alignment horizontal="center"/>
    </xf>
    <xf numFmtId="0" fontId="1" fillId="2" borderId="5" xfId="17" applyFont="1" applyFill="1" applyBorder="1" applyAlignment="1" applyProtection="1">
      <alignment horizontal="center" vertical="center"/>
    </xf>
    <xf numFmtId="0" fontId="2" fillId="5" borderId="9" xfId="16" applyBorder="1" applyAlignment="1" applyProtection="1">
      <alignment horizontal="center"/>
    </xf>
    <xf numFmtId="0" fontId="2" fillId="5" borderId="8" xfId="16" applyFill="1" applyBorder="1" applyAlignment="1" applyProtection="1"/>
    <xf numFmtId="0" fontId="2" fillId="4" borderId="10" xfId="16" applyFill="1" applyBorder="1" applyAlignment="1" applyProtection="1"/>
    <xf numFmtId="0" fontId="2" fillId="4" borderId="2" xfId="16" applyFill="1" applyBorder="1" applyAlignment="1" applyProtection="1"/>
    <xf numFmtId="0" fontId="2" fillId="5" borderId="11" xfId="16" applyBorder="1" applyAlignment="1" applyProtection="1">
      <alignment horizontal="center"/>
    </xf>
    <xf numFmtId="0" fontId="2" fillId="5" borderId="6" xfId="16" applyFill="1" applyBorder="1" applyAlignment="1" applyProtection="1"/>
    <xf numFmtId="0" fontId="2" fillId="4" borderId="10" xfId="0" applyFont="1" applyFill="1" applyBorder="1" applyAlignment="1"/>
    <xf numFmtId="0" fontId="2" fillId="3" borderId="2" xfId="16" applyFill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1" fillId="2" borderId="1" xfId="17" applyFont="1" applyAlignment="1" applyProtection="1">
      <alignment horizontal="center"/>
    </xf>
    <xf numFmtId="0" fontId="2" fillId="0" borderId="6" xfId="0" applyFont="1" applyBorder="1" applyAlignment="1"/>
    <xf numFmtId="0" fontId="2" fillId="4" borderId="4" xfId="8" applyFont="1" applyBorder="1" applyAlignment="1" applyProtection="1"/>
    <xf numFmtId="0" fontId="2" fillId="4" borderId="2" xfId="8" applyFont="1" applyAlignment="1" applyProtection="1"/>
    <xf numFmtId="0" fontId="2" fillId="5" borderId="8" xfId="16" applyNumberFormat="1" applyFont="1" applyBorder="1" applyAlignment="1" applyProtection="1">
      <alignment horizontal="center"/>
    </xf>
    <xf numFmtId="0" fontId="1" fillId="2" borderId="6" xfId="17" applyFont="1" applyFill="1" applyBorder="1" applyAlignment="1" applyProtection="1">
      <alignment horizontal="center" vertical="center"/>
    </xf>
    <xf numFmtId="0" fontId="2" fillId="4" borderId="12" xfId="16" applyFill="1" applyBorder="1" applyAlignment="1" applyProtection="1"/>
    <xf numFmtId="0" fontId="2" fillId="4" borderId="4" xfId="16" applyFill="1" applyBorder="1" applyAlignment="1" applyProtection="1"/>
    <xf numFmtId="0" fontId="2" fillId="5" borderId="6" xfId="16" applyBorder="1" applyAlignment="1" applyProtection="1">
      <alignment horizontal="center"/>
    </xf>
    <xf numFmtId="0" fontId="1" fillId="2" borderId="13" xfId="17" applyFont="1" applyFill="1" applyBorder="1" applyAlignment="1" applyProtection="1">
      <alignment horizontal="center" vertical="center"/>
    </xf>
    <xf numFmtId="0" fontId="1" fillId="2" borderId="14" xfId="17" applyFont="1" applyFill="1" applyBorder="1" applyAlignment="1" applyProtection="1">
      <alignment horizontal="center" vertical="center"/>
    </xf>
    <xf numFmtId="0" fontId="1" fillId="2" borderId="15" xfId="17" applyFont="1" applyFill="1" applyBorder="1" applyAlignment="1" applyProtection="1">
      <alignment horizontal="center" vertical="center"/>
    </xf>
    <xf numFmtId="0" fontId="1" fillId="2" borderId="16" xfId="17" applyFont="1" applyFill="1" applyBorder="1" applyAlignment="1" applyProtection="1">
      <alignment horizontal="center" vertical="center"/>
    </xf>
    <xf numFmtId="0" fontId="1" fillId="2" borderId="17" xfId="17" applyFont="1" applyFill="1" applyBorder="1" applyAlignment="1" applyProtection="1">
      <alignment horizontal="center" vertical="center"/>
    </xf>
    <xf numFmtId="0" fontId="1" fillId="2" borderId="18" xfId="17" applyFont="1" applyFill="1" applyBorder="1" applyAlignment="1" applyProtection="1">
      <alignment horizontal="center" vertical="center"/>
    </xf>
    <xf numFmtId="0" fontId="1" fillId="2" borderId="8" xfId="17" applyFont="1" applyFill="1" applyBorder="1" applyAlignment="1" applyProtection="1">
      <alignment horizontal="center" vertical="center"/>
    </xf>
    <xf numFmtId="0" fontId="1" fillId="2" borderId="19" xfId="17" applyFont="1" applyFill="1" applyBorder="1" applyAlignment="1" applyProtection="1">
      <alignment horizontal="center" vertical="center"/>
    </xf>
    <xf numFmtId="0" fontId="2" fillId="0" borderId="0" xfId="0" applyNumberFormat="1" applyFont="1" applyAlignment="1">
      <alignment horizontal="left" vertical="center"/>
    </xf>
    <xf numFmtId="0" fontId="2" fillId="4" borderId="2" xfId="8" applyFont="1" applyAlignment="1" applyProtection="1">
      <alignment horizontal="left" vertical="center"/>
    </xf>
    <xf numFmtId="0" fontId="2" fillId="4" borderId="20" xfId="8" applyFont="1" applyBorder="1" applyAlignment="1" applyProtection="1">
      <alignment horizontal="left" vertical="center"/>
    </xf>
    <xf numFmtId="0" fontId="2" fillId="0" borderId="0" xfId="0" applyNumberFormat="1" applyFont="1" applyAlignment="1">
      <alignment horizontal="center"/>
    </xf>
    <xf numFmtId="0" fontId="2" fillId="5" borderId="2" xfId="8" applyFont="1" applyFill="1" applyBorder="1" applyAlignment="1" applyProtection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wrapText="1"/>
    </xf>
    <xf numFmtId="0" fontId="2" fillId="0" borderId="0" xfId="0" applyFont="1" applyFill="1" applyAlignment="1">
      <alignment horizontal="left" vertical="center"/>
    </xf>
    <xf numFmtId="0" fontId="6" fillId="6" borderId="0" xfId="22" applyAlignment="1" applyProtection="1"/>
    <xf numFmtId="0" fontId="7" fillId="7" borderId="0" xfId="23" applyAlignment="1" applyProtection="1"/>
    <xf numFmtId="0" fontId="2" fillId="3" borderId="21" xfId="0" applyFont="1" applyFill="1" applyBorder="1" applyAlignment="1">
      <alignment horizontal="left"/>
    </xf>
    <xf numFmtId="0" fontId="2" fillId="8" borderId="21" xfId="0" applyFont="1" applyFill="1" applyBorder="1" applyAlignment="1">
      <alignment horizontal="left"/>
    </xf>
    <xf numFmtId="0" fontId="2" fillId="9" borderId="21" xfId="0" applyFont="1" applyFill="1" applyBorder="1" applyAlignment="1">
      <alignment horizontal="left"/>
    </xf>
    <xf numFmtId="0" fontId="2" fillId="10" borderId="21" xfId="0" applyFont="1" applyFill="1" applyBorder="1" applyAlignment="1">
      <alignment horizontal="left"/>
    </xf>
    <xf numFmtId="0" fontId="2" fillId="9" borderId="21" xfId="0" applyFont="1" applyFill="1" applyBorder="1" applyAlignment="1">
      <alignment horizontal="left" vertical="center"/>
    </xf>
    <xf numFmtId="0" fontId="2" fillId="8" borderId="21" xfId="0" applyFont="1" applyFill="1" applyBorder="1" applyAlignment="1">
      <alignment horizontal="left" vertical="center"/>
    </xf>
    <xf numFmtId="0" fontId="2" fillId="0" borderId="0" xfId="0" applyFont="1" applyFill="1" applyBorder="1" applyAlignment="1"/>
    <xf numFmtId="0" fontId="6" fillId="0" borderId="0" xfId="22" applyFont="1" applyFill="1" applyBorder="1" applyAlignment="1" applyProtection="1"/>
    <xf numFmtId="0" fontId="6" fillId="0" borderId="0" xfId="22" applyFont="1" applyFill="1" applyAlignment="1" applyProtection="1"/>
    <xf numFmtId="0" fontId="7" fillId="0" borderId="0" xfId="23" applyFont="1" applyFill="1" applyBorder="1" applyAlignment="1" applyProtection="1"/>
    <xf numFmtId="0" fontId="7" fillId="0" borderId="0" xfId="23" applyFont="1" applyFill="1" applyAlignment="1" applyProtection="1"/>
    <xf numFmtId="49" fontId="2" fillId="0" borderId="0" xfId="0" applyNumberFormat="1" applyFont="1" applyAlignment="1"/>
    <xf numFmtId="0" fontId="2" fillId="0" borderId="0" xfId="0" applyFont="1" applyFill="1" applyAlignment="1">
      <alignment horizontal="center"/>
    </xf>
    <xf numFmtId="0" fontId="8" fillId="0" borderId="0" xfId="0" applyFont="1">
      <alignment vertical="center"/>
    </xf>
    <xf numFmtId="0" fontId="6" fillId="0" borderId="0" xfId="22" applyFill="1" applyAlignment="1" applyProtection="1"/>
    <xf numFmtId="0" fontId="7" fillId="0" borderId="0" xfId="23" applyFill="1" applyAlignment="1" applyProtection="1"/>
    <xf numFmtId="0" fontId="2" fillId="3" borderId="21" xfId="0" applyFont="1" applyFill="1" applyBorder="1" applyAlignment="1"/>
    <xf numFmtId="0" fontId="2" fillId="3" borderId="22" xfId="0" applyFont="1" applyFill="1" applyBorder="1" applyAlignment="1">
      <alignment horizontal="center" vertical="center"/>
    </xf>
    <xf numFmtId="0" fontId="2" fillId="8" borderId="21" xfId="0" applyFont="1" applyFill="1" applyBorder="1" applyAlignment="1"/>
    <xf numFmtId="0" fontId="2" fillId="3" borderId="23" xfId="0" applyFont="1" applyFill="1" applyBorder="1" applyAlignment="1">
      <alignment horizontal="center" vertical="center"/>
    </xf>
    <xf numFmtId="0" fontId="2" fillId="10" borderId="21" xfId="0" applyFont="1" applyFill="1" applyBorder="1" applyAlignment="1"/>
    <xf numFmtId="0" fontId="2" fillId="3" borderId="24" xfId="0" applyFont="1" applyFill="1" applyBorder="1" applyAlignment="1">
      <alignment horizontal="center" vertical="center"/>
    </xf>
    <xf numFmtId="0" fontId="2" fillId="11" borderId="21" xfId="0" applyFont="1" applyFill="1" applyBorder="1" applyAlignment="1"/>
    <xf numFmtId="0" fontId="2" fillId="12" borderId="3" xfId="0" applyNumberFormat="1" applyFont="1" applyFill="1" applyBorder="1" applyAlignment="1"/>
    <xf numFmtId="0" fontId="2" fillId="13" borderId="3" xfId="0" applyNumberFormat="1" applyFont="1" applyFill="1" applyBorder="1" applyAlignment="1"/>
    <xf numFmtId="0" fontId="2" fillId="3" borderId="22" xfId="0" applyFont="1" applyFill="1" applyBorder="1">
      <alignment vertical="center"/>
    </xf>
    <xf numFmtId="0" fontId="2" fillId="3" borderId="23" xfId="0" applyFont="1" applyFill="1" applyBorder="1">
      <alignment vertical="center"/>
    </xf>
    <xf numFmtId="0" fontId="2" fillId="3" borderId="24" xfId="0" applyFont="1" applyFill="1" applyBorder="1">
      <alignment vertical="center"/>
    </xf>
    <xf numFmtId="0" fontId="2" fillId="14" borderId="21" xfId="0" applyFont="1" applyFill="1" applyBorder="1" applyAlignment="1"/>
    <xf numFmtId="0" fontId="2" fillId="15" borderId="21" xfId="0" applyFont="1" applyFill="1" applyBorder="1" applyAlignment="1"/>
    <xf numFmtId="0" fontId="2" fillId="0" borderId="21" xfId="0" applyFont="1" applyBorder="1" applyAlignment="1"/>
    <xf numFmtId="0" fontId="2" fillId="0" borderId="2" xfId="8" applyFill="1" applyAlignment="1" applyProtection="1"/>
    <xf numFmtId="0" fontId="2" fillId="3" borderId="21" xfId="0" applyFont="1" applyFill="1" applyBorder="1">
      <alignment vertical="center"/>
    </xf>
    <xf numFmtId="0" fontId="2" fillId="3" borderId="21" xfId="0" applyFont="1" applyFill="1" applyBorder="1" applyAlignment="1">
      <alignment horizontal="left" vertical="center"/>
    </xf>
    <xf numFmtId="0" fontId="2" fillId="3" borderId="21" xfId="0" applyFont="1" applyFill="1" applyBorder="1" applyAlignment="1">
      <alignment horizontal="left" vertical="center" wrapText="1"/>
    </xf>
    <xf numFmtId="0" fontId="2" fillId="5" borderId="6" xfId="16" applyFont="1" applyAlignment="1" applyProtection="1">
      <alignment horizontal="left" vertical="center"/>
    </xf>
    <xf numFmtId="0" fontId="2" fillId="4" borderId="2" xfId="8" applyFont="1" applyAlignment="1" applyProtection="1">
      <alignment horizontal="left"/>
    </xf>
    <xf numFmtId="0" fontId="2" fillId="5" borderId="6" xfId="16" applyFont="1" applyAlignment="1" applyProtection="1">
      <alignment horizontal="left"/>
    </xf>
    <xf numFmtId="0" fontId="2" fillId="0" borderId="2" xfId="8" applyFont="1" applyFill="1" applyAlignment="1" applyProtection="1"/>
    <xf numFmtId="0" fontId="2" fillId="4" borderId="2" xfId="8" applyFont="1" applyFill="1" applyAlignment="1" applyProtection="1">
      <alignment horizontal="left"/>
    </xf>
    <xf numFmtId="0" fontId="2" fillId="4" borderId="2" xfId="8" applyFont="1" applyFill="1" applyAlignment="1" applyProtection="1">
      <alignment horizontal="left" vertical="center"/>
    </xf>
    <xf numFmtId="0" fontId="9" fillId="0" borderId="0" xfId="0" applyFont="1" applyAlignment="1"/>
    <xf numFmtId="0" fontId="10" fillId="0" borderId="0" xfId="0" applyFont="1" applyBorder="1" applyAlignment="1"/>
    <xf numFmtId="0" fontId="2" fillId="0" borderId="0" xfId="0" applyFont="1" applyBorder="1" applyAlignment="1"/>
    <xf numFmtId="0" fontId="2" fillId="5" borderId="6" xfId="16" applyAlignment="1" applyProtection="1">
      <alignment horizontal="left"/>
    </xf>
    <xf numFmtId="0" fontId="2" fillId="5" borderId="6" xfId="16" applyAlignment="1" applyProtection="1">
      <alignment horizontal="left" vertical="center"/>
    </xf>
    <xf numFmtId="0" fontId="2" fillId="0" borderId="0" xfId="0" applyFont="1" applyAlignment="1">
      <alignment horizontal="right"/>
    </xf>
    <xf numFmtId="0" fontId="2" fillId="5" borderId="6" xfId="16" applyNumberFormat="1" applyAlignment="1" applyProtection="1">
      <alignment horizontal="left" vertical="center"/>
    </xf>
    <xf numFmtId="0" fontId="2" fillId="5" borderId="6" xfId="16" applyAlignment="1" applyProtection="1">
      <alignment horizontal="left" vertical="center" wrapText="1"/>
    </xf>
    <xf numFmtId="0" fontId="4" fillId="4" borderId="2" xfId="8" applyFont="1" applyAlignment="1" applyProtection="1">
      <alignment horizontal="left" vertical="center"/>
    </xf>
    <xf numFmtId="0" fontId="7" fillId="0" borderId="0" xfId="23" applyFill="1" applyAlignment="1" applyProtection="1">
      <alignment vertical="center"/>
    </xf>
    <xf numFmtId="0" fontId="2" fillId="0" borderId="0" xfId="0" applyFont="1" applyFill="1">
      <alignment vertical="center"/>
    </xf>
    <xf numFmtId="0" fontId="2" fillId="5" borderId="6" xfId="16" applyAlignment="1" applyProtection="1">
      <alignment vertical="center"/>
    </xf>
    <xf numFmtId="0" fontId="2" fillId="5" borderId="6" xfId="16" applyFont="1" applyAlignment="1" applyProtection="1"/>
    <xf numFmtId="0" fontId="6" fillId="6" borderId="0" xfId="22" applyAlignment="1" applyProtection="1">
      <alignment horizontal="center" vertical="center"/>
    </xf>
    <xf numFmtId="0" fontId="6" fillId="0" borderId="0" xfId="22" applyFill="1" applyAlignment="1" applyProtection="1">
      <alignment horizontal="left" vertical="center"/>
    </xf>
    <xf numFmtId="0" fontId="6" fillId="0" borderId="0" xfId="22" applyFill="1" applyAlignment="1" applyProtection="1">
      <alignment horizontal="left" vertical="center" wrapText="1"/>
    </xf>
    <xf numFmtId="49" fontId="2" fillId="0" borderId="0" xfId="0" applyNumberFormat="1" applyFont="1" applyAlignment="1">
      <alignment horizontal="right" vertical="center"/>
    </xf>
    <xf numFmtId="0" fontId="6" fillId="0" borderId="0" xfId="22" applyFill="1" applyBorder="1" applyAlignment="1" applyProtection="1">
      <alignment horizontal="left" vertical="center"/>
    </xf>
    <xf numFmtId="0" fontId="6" fillId="0" borderId="0" xfId="22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horizontal="center" vertical="center"/>
    </xf>
    <xf numFmtId="49" fontId="6" fillId="0" borderId="0" xfId="22" applyNumberFormat="1" applyFill="1" applyBorder="1" applyAlignment="1" applyProtection="1">
      <alignment horizontal="center" vertical="center"/>
    </xf>
    <xf numFmtId="49" fontId="6" fillId="0" borderId="0" xfId="22" applyNumberFormat="1" applyFill="1" applyAlignment="1" applyProtection="1">
      <alignment horizontal="center" vertical="center"/>
    </xf>
    <xf numFmtId="49" fontId="6" fillId="0" borderId="0" xfId="22" applyNumberFormat="1" applyFill="1" applyAlignment="1" applyProtection="1">
      <alignment horizontal="center" vertical="center" wrapText="1"/>
    </xf>
    <xf numFmtId="49" fontId="2" fillId="0" borderId="0" xfId="0" applyNumberFormat="1" applyFont="1" applyFill="1" applyAlignment="1">
      <alignment horizontal="right" vertical="center"/>
    </xf>
    <xf numFmtId="49" fontId="2" fillId="0" borderId="0" xfId="0" applyNumberFormat="1" applyFont="1" applyAlignment="1">
      <alignment horizontal="right" vertical="center" wrapText="1"/>
    </xf>
    <xf numFmtId="0" fontId="11" fillId="0" borderId="0" xfId="6" applyFont="1" applyFill="1" applyAlignment="1" applyProtection="1">
      <alignment horizontal="center" vertical="center"/>
    </xf>
    <xf numFmtId="0" fontId="12" fillId="0" borderId="0" xfId="6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color rgb="FFD73434"/>
      </font>
      <fill>
        <patternFill patternType="solid">
          <bgColor rgb="FFFEC8CE"/>
        </patternFill>
      </fill>
      <border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color rgb="FFFFFF00"/>
      </font>
      <fill>
        <patternFill patternType="solid">
          <bgColor rgb="FF808080"/>
        </patternFill>
      </fill>
      <border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color rgb="FF383838"/>
      </font>
      <fill>
        <patternFill patternType="solid">
          <bgColor rgb="FFFEC8CE"/>
        </patternFill>
      </fill>
      <border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1"/>
        <color rgb="FF000000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952" dbFileVersion="0">
    <open main="95" threadCnt="1"/>
    <sheetInfos>
      <sheetInfo cellCmpFml="0" sheetStid="1">
        <open threadCnt="1"/>
      </sheetInfo>
      <sheetInfo cellCmpFml="23" sheetStid="2">
        <open threadCnt="1"/>
      </sheetInfo>
      <sheetInfo cellCmpFml="6" sheetStid="3">
        <open main="1" threadCnt="1"/>
      </sheetInfo>
      <sheetInfo cellCmpFml="0" sheetStid="4">
        <open threadCnt="1"/>
      </sheetInfo>
      <sheetInfo cellCmpFml="0" sheetStid="5">
        <open threadCnt="1"/>
      </sheetInfo>
      <sheetInfo cellCmpFml="0" sheetStid="6">
        <open threadCnt="1"/>
      </sheetInfo>
      <sheetInfo cellCmpFml="0" sheetStid="7">
        <open threadCnt="1"/>
      </sheetInfo>
      <sheetInfo cellCmpFml="0" sheetStid="8">
        <open threadCnt="1"/>
      </sheetInfo>
      <sheetInfo cellCmpFml="22" sheetStid="10">
        <open main="1" threadCnt="1"/>
      </sheetInfo>
      <sheetInfo cellCmpFml="55" sheetStid="9">
        <open main="2" threadCnt="1"/>
      </sheetInfo>
      <sheetInfo cellCmpFml="418" sheetStid="11">
        <open main="15" threadCnt="1"/>
      </sheetInfo>
      <sheetInfo cellCmpFml="2" sheetStid="12">
        <open threadCnt="1"/>
      </sheetInfo>
      <sheetInfo cellCmpFml="413" sheetStid="13">
        <open main="14" threadCnt="1"/>
      </sheetInfo>
      <sheetInfo cellCmpFml="5" sheetStid="14">
        <open main="1" threadCnt="1"/>
      </sheetInfo>
      <sheetInfo cellCmpFml="8" sheetStid="15">
        <open threadCnt="1"/>
      </sheetInfo>
      <sheetInfo cellCmpFml="0" sheetStid="16">
        <open threadCnt="1"/>
      </sheetInfo>
      <sheetInfo cellCmpFml="0" sheetStid="17">
        <open threadCnt="1"/>
      </sheetInfo>
      <sheetInfo cellCmpFml="0" sheetStid="18">
        <open threadCnt="1"/>
      </sheetInfo>
      <sheetInfo cellCmpFml="0" sheetStid="19">
        <open threadCnt="1"/>
      </sheetInfo>
      <sheetInfo cellCmpFml="0" sheetStid="20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www.wps.cn/officeDocument/2023/relationships/woinfos" Target="woinfos.xml"/><Relationship Id="rId28" Type="http://schemas.openxmlformats.org/officeDocument/2006/relationships/styles" Target="styles.xml"/><Relationship Id="rId27" Type="http://schemas.openxmlformats.org/officeDocument/2006/relationships/customXml" Target="../customXml/item3.xml"/><Relationship Id="rId26" Type="http://schemas.openxmlformats.org/officeDocument/2006/relationships/customXml" Target="../customXml/item2.xml"/><Relationship Id="rId25" Type="http://schemas.openxmlformats.org/officeDocument/2006/relationships/customXml" Target="../customXml/item1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www.wps.cn/officeDocument/2021/sharedlinks" Target="sharedlinks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opLeftCell="E1" workbookViewId="0">
      <selection activeCell="D13" sqref="D13"/>
    </sheetView>
  </sheetViews>
  <sheetFormatPr defaultColWidth="9" defaultRowHeight="14.25"/>
  <cols>
    <col min="1" max="2" width="8.89166666666667" style="2"/>
    <col min="3" max="3" width="38.5" style="2" customWidth="1"/>
    <col min="4" max="4" width="23.0916666666667" style="2" customWidth="1"/>
    <col min="5" max="5" width="22" style="2" customWidth="1"/>
    <col min="6" max="6" width="58.1666666666667" style="171" customWidth="1"/>
    <col min="7" max="7" width="35.1083333333333" style="2" customWidth="1"/>
    <col min="8" max="8" width="18.1083333333333" style="2" customWidth="1"/>
    <col min="9" max="9" width="24.3333333333333" style="2" customWidth="1"/>
    <col min="11" max="11" width="5.225" customWidth="1"/>
    <col min="12" max="12" width="13.6666666666667" customWidth="1"/>
  </cols>
  <sheetData>
    <row r="1" s="15" customFormat="1" spans="1:12">
      <c r="A1" s="172" t="s">
        <v>0</v>
      </c>
      <c r="B1" s="173" t="s">
        <v>1</v>
      </c>
      <c r="C1" s="172" t="s">
        <v>2</v>
      </c>
      <c r="D1" s="172" t="s">
        <v>3</v>
      </c>
      <c r="E1" s="172" t="s">
        <v>4</v>
      </c>
      <c r="F1" s="175" t="s">
        <v>5</v>
      </c>
      <c r="G1" s="172" t="s">
        <v>6</v>
      </c>
      <c r="H1" s="172" t="s">
        <v>7</v>
      </c>
      <c r="I1" s="172" t="s">
        <v>8</v>
      </c>
      <c r="J1" s="172" t="s">
        <v>9</v>
      </c>
      <c r="K1" s="172" t="s">
        <v>10</v>
      </c>
      <c r="L1" s="172" t="s">
        <v>11</v>
      </c>
    </row>
    <row r="2" s="169" customFormat="1" spans="1:12">
      <c r="A2" s="169" t="s">
        <v>12</v>
      </c>
      <c r="C2" s="169" t="s">
        <v>13</v>
      </c>
      <c r="D2" s="169" t="s">
        <v>14</v>
      </c>
      <c r="E2" s="169" t="s">
        <v>15</v>
      </c>
      <c r="F2" s="176" t="s">
        <v>16</v>
      </c>
      <c r="G2" s="169" t="s">
        <v>17</v>
      </c>
      <c r="H2" s="169" t="s">
        <v>18</v>
      </c>
      <c r="I2" s="169" t="s">
        <v>19</v>
      </c>
      <c r="J2" s="169" t="s">
        <v>20</v>
      </c>
      <c r="L2" s="169" t="s">
        <v>21</v>
      </c>
    </row>
    <row r="3" s="170" customFormat="1" ht="42.75" spans="1:12">
      <c r="A3" s="170" t="s">
        <v>12</v>
      </c>
      <c r="E3" s="170" t="s">
        <v>22</v>
      </c>
      <c r="F3" s="177" t="s">
        <v>23</v>
      </c>
      <c r="G3" s="170" t="s">
        <v>24</v>
      </c>
      <c r="H3" s="170" t="s">
        <v>25</v>
      </c>
      <c r="I3" s="170" t="s">
        <v>26</v>
      </c>
      <c r="L3" s="170" t="s">
        <v>27</v>
      </c>
    </row>
    <row r="4" spans="3:7">
      <c r="C4" s="2" t="s">
        <v>28</v>
      </c>
      <c r="D4" s="2" t="s">
        <v>29</v>
      </c>
      <c r="E4" s="2">
        <v>1</v>
      </c>
      <c r="F4" s="160" t="s">
        <v>30</v>
      </c>
      <c r="G4" s="2" t="s">
        <v>31</v>
      </c>
    </row>
    <row r="5" spans="3:7">
      <c r="C5" s="2" t="s">
        <v>32</v>
      </c>
      <c r="D5" s="2" t="s">
        <v>33</v>
      </c>
      <c r="E5" s="2">
        <v>1</v>
      </c>
      <c r="F5" s="171" t="s">
        <v>34</v>
      </c>
      <c r="G5" s="2" t="s">
        <v>31</v>
      </c>
    </row>
    <row r="6" customFormat="1" spans="1:12">
      <c r="A6" s="174"/>
      <c r="B6" s="174"/>
      <c r="C6" s="174" t="s">
        <v>35</v>
      </c>
      <c r="D6" s="174" t="s">
        <v>36</v>
      </c>
      <c r="E6" s="174">
        <v>1</v>
      </c>
      <c r="F6" s="178" t="s">
        <v>37</v>
      </c>
      <c r="G6" s="174"/>
      <c r="H6" s="174" t="s">
        <v>38</v>
      </c>
      <c r="I6" s="174"/>
      <c r="J6" s="165"/>
      <c r="K6" s="165"/>
      <c r="L6" s="165"/>
    </row>
    <row r="7" customFormat="1" spans="1:9">
      <c r="A7" s="2"/>
      <c r="B7" s="2"/>
      <c r="C7" s="2" t="s">
        <v>39</v>
      </c>
      <c r="D7" s="2" t="s">
        <v>40</v>
      </c>
      <c r="E7" s="2">
        <v>1</v>
      </c>
      <c r="F7" s="171" t="s">
        <v>41</v>
      </c>
      <c r="G7" s="2"/>
      <c r="H7" s="2" t="s">
        <v>38</v>
      </c>
      <c r="I7" s="2"/>
    </row>
    <row r="8" spans="2:6">
      <c r="B8" s="2">
        <v>10001</v>
      </c>
      <c r="C8" s="2" t="s">
        <v>42</v>
      </c>
      <c r="D8" s="2" t="s">
        <v>43</v>
      </c>
      <c r="E8" s="174">
        <v>1</v>
      </c>
      <c r="F8" s="171" t="s">
        <v>44</v>
      </c>
    </row>
    <row r="9" spans="2:6">
      <c r="B9" s="2">
        <v>20001</v>
      </c>
      <c r="C9" s="2" t="s">
        <v>45</v>
      </c>
      <c r="D9" s="2" t="s">
        <v>46</v>
      </c>
      <c r="E9" s="174">
        <v>1</v>
      </c>
      <c r="F9" s="171" t="s">
        <v>47</v>
      </c>
    </row>
    <row r="10" spans="2:6">
      <c r="B10" s="2">
        <v>30001</v>
      </c>
      <c r="C10" s="2" t="s">
        <v>48</v>
      </c>
      <c r="D10" s="2" t="s">
        <v>49</v>
      </c>
      <c r="E10" s="2">
        <v>1</v>
      </c>
      <c r="F10" s="160" t="s">
        <v>50</v>
      </c>
    </row>
    <row r="11" spans="2:6">
      <c r="B11" s="2">
        <v>40001</v>
      </c>
      <c r="C11" s="2" t="s">
        <v>51</v>
      </c>
      <c r="D11" s="2" t="s">
        <v>52</v>
      </c>
      <c r="E11" s="2">
        <v>1</v>
      </c>
      <c r="F11" s="160" t="s">
        <v>53</v>
      </c>
    </row>
    <row r="12" spans="2:6">
      <c r="B12" s="2" t="s">
        <v>54</v>
      </c>
      <c r="C12" s="2" t="s">
        <v>55</v>
      </c>
      <c r="D12" s="2" t="s">
        <v>56</v>
      </c>
      <c r="E12" s="2">
        <v>1</v>
      </c>
      <c r="F12" s="160" t="s">
        <v>57</v>
      </c>
    </row>
    <row r="13" spans="2:6">
      <c r="B13" s="2">
        <v>50001</v>
      </c>
      <c r="C13" s="2" t="s">
        <v>58</v>
      </c>
      <c r="D13" s="2" t="s">
        <v>59</v>
      </c>
      <c r="E13" s="2">
        <v>1</v>
      </c>
      <c r="F13" s="160" t="s">
        <v>60</v>
      </c>
    </row>
    <row r="14" customHeight="1" spans="2:7">
      <c r="B14" s="2">
        <v>60001</v>
      </c>
      <c r="C14" s="2" t="s">
        <v>61</v>
      </c>
      <c r="D14" s="2" t="s">
        <v>62</v>
      </c>
      <c r="E14" s="2">
        <v>1</v>
      </c>
      <c r="F14" s="179" t="s">
        <v>63</v>
      </c>
      <c r="G14" s="172"/>
    </row>
    <row r="15" spans="2:7">
      <c r="B15" s="2">
        <v>70001</v>
      </c>
      <c r="C15" s="2" t="s">
        <v>64</v>
      </c>
      <c r="D15" s="2" t="s">
        <v>65</v>
      </c>
      <c r="E15" s="2">
        <v>1</v>
      </c>
      <c r="F15" s="171" t="s">
        <v>66</v>
      </c>
      <c r="G15" s="169"/>
    </row>
    <row r="16" spans="7:7">
      <c r="G16" s="170"/>
    </row>
    <row r="17" spans="7:7">
      <c r="G17" s="174"/>
    </row>
    <row r="20" spans="7:7">
      <c r="G20" s="180"/>
    </row>
    <row r="21" spans="7:7">
      <c r="G21" s="18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1"/>
  <sheetViews>
    <sheetView topLeftCell="N40" workbookViewId="0">
      <selection activeCell="N40" sqref="N40"/>
    </sheetView>
  </sheetViews>
  <sheetFormatPr defaultColWidth="9" defaultRowHeight="14.25"/>
  <cols>
    <col min="2" max="2" width="25.2916666666667" customWidth="1"/>
    <col min="3" max="3" width="18.875" customWidth="1"/>
    <col min="4" max="4" width="10.1083333333333" customWidth="1"/>
    <col min="6" max="7" width="16.275" customWidth="1"/>
    <col min="8" max="8" width="12.875" customWidth="1"/>
    <col min="9" max="9" width="10.625" customWidth="1"/>
    <col min="10" max="10" width="20.0916666666667" customWidth="1"/>
    <col min="11" max="11" width="48.375" customWidth="1"/>
    <col min="14" max="15" width="14" customWidth="1"/>
  </cols>
  <sheetData>
    <row r="1" spans="1:16">
      <c r="A1" s="164" t="s">
        <v>0</v>
      </c>
      <c r="B1" s="165" t="s">
        <v>2</v>
      </c>
      <c r="C1" s="165" t="s">
        <v>67</v>
      </c>
      <c r="D1" s="165" t="s">
        <v>68</v>
      </c>
      <c r="E1" s="165" t="s">
        <v>69</v>
      </c>
      <c r="F1" s="165" t="s">
        <v>70</v>
      </c>
      <c r="G1" s="165" t="s">
        <v>9</v>
      </c>
      <c r="H1" s="165" t="s">
        <v>8</v>
      </c>
      <c r="I1" s="165" t="s">
        <v>10</v>
      </c>
      <c r="J1" s="168" t="s">
        <v>71</v>
      </c>
      <c r="K1" s="168"/>
      <c r="L1" s="168"/>
      <c r="M1" s="168"/>
      <c r="N1" s="168"/>
      <c r="O1" s="168"/>
      <c r="P1" s="168"/>
    </row>
    <row r="2" spans="1:16">
      <c r="A2" s="164" t="s">
        <v>0</v>
      </c>
      <c r="B2" s="165"/>
      <c r="C2" s="165"/>
      <c r="D2" s="165"/>
      <c r="E2" s="165"/>
      <c r="F2" s="165"/>
      <c r="G2" s="165"/>
      <c r="H2" s="165"/>
      <c r="I2" s="165"/>
      <c r="J2" s="165" t="s">
        <v>72</v>
      </c>
      <c r="K2" s="165" t="s">
        <v>73</v>
      </c>
      <c r="L2" s="165" t="s">
        <v>8</v>
      </c>
      <c r="M2" s="165" t="s">
        <v>74</v>
      </c>
      <c r="N2" s="165" t="s">
        <v>70</v>
      </c>
      <c r="O2" s="165" t="s">
        <v>9</v>
      </c>
      <c r="P2" s="165" t="s">
        <v>10</v>
      </c>
    </row>
    <row r="3" spans="1:16">
      <c r="A3" s="165" t="s">
        <v>12</v>
      </c>
      <c r="B3" s="165" t="s">
        <v>75</v>
      </c>
      <c r="C3" s="165"/>
      <c r="D3" s="165"/>
      <c r="E3" s="165" t="s">
        <v>76</v>
      </c>
      <c r="F3" s="165" t="s">
        <v>77</v>
      </c>
      <c r="G3" s="165" t="s">
        <v>20</v>
      </c>
      <c r="H3" s="165"/>
      <c r="I3" s="165"/>
      <c r="J3" s="165" t="s">
        <v>78</v>
      </c>
      <c r="K3" s="165" t="s">
        <v>79</v>
      </c>
      <c r="L3" s="165" t="s">
        <v>19</v>
      </c>
      <c r="M3" s="165" t="s">
        <v>80</v>
      </c>
      <c r="N3" s="165" t="s">
        <v>77</v>
      </c>
      <c r="O3" s="165" t="s">
        <v>20</v>
      </c>
      <c r="P3" s="165"/>
    </row>
    <row r="4" spans="1:16">
      <c r="A4" s="165"/>
      <c r="B4" s="166" t="s">
        <v>81</v>
      </c>
      <c r="C4" s="166"/>
      <c r="D4" s="166"/>
      <c r="E4" s="166" t="s">
        <v>82</v>
      </c>
      <c r="F4" s="166" t="s">
        <v>83</v>
      </c>
      <c r="G4" s="166" t="str">
        <f>F4</f>
        <v>骰子</v>
      </c>
      <c r="H4" s="166"/>
      <c r="I4" s="166"/>
      <c r="J4" s="166" t="s">
        <v>84</v>
      </c>
      <c r="K4" s="166" t="s">
        <v>85</v>
      </c>
      <c r="L4" s="166"/>
      <c r="M4" s="166"/>
      <c r="N4" s="166" t="s">
        <v>86</v>
      </c>
      <c r="O4" s="166" t="str">
        <f t="shared" ref="O4:O23" si="0">N4</f>
        <v>数量</v>
      </c>
      <c r="P4" s="166"/>
    </row>
    <row r="5" spans="2:16">
      <c r="B5" s="30"/>
      <c r="C5" s="30"/>
      <c r="D5" s="30"/>
      <c r="E5" s="30"/>
      <c r="F5" s="30"/>
      <c r="G5" s="30"/>
      <c r="H5" s="30"/>
      <c r="I5" s="30"/>
      <c r="J5" s="30" t="s">
        <v>87</v>
      </c>
      <c r="K5" s="30" t="s">
        <v>85</v>
      </c>
      <c r="L5" s="30"/>
      <c r="M5" s="30"/>
      <c r="N5" s="30" t="s">
        <v>88</v>
      </c>
      <c r="O5" s="30" t="str">
        <f t="shared" si="0"/>
        <v>骰子面数</v>
      </c>
      <c r="P5" s="30"/>
    </row>
    <row r="6" spans="2:16">
      <c r="B6" s="31" t="s">
        <v>89</v>
      </c>
      <c r="C6" s="31"/>
      <c r="D6" s="31"/>
      <c r="E6" s="31"/>
      <c r="F6" s="31" t="s">
        <v>90</v>
      </c>
      <c r="G6" s="31" t="str">
        <f>F6</f>
        <v>伤害</v>
      </c>
      <c r="H6" s="31"/>
      <c r="I6" s="31"/>
      <c r="J6" s="31" t="s">
        <v>91</v>
      </c>
      <c r="K6" s="31" t="s">
        <v>81</v>
      </c>
      <c r="L6" s="31"/>
      <c r="M6" s="31"/>
      <c r="N6" s="31" t="s">
        <v>92</v>
      </c>
      <c r="O6" s="31" t="str">
        <f t="shared" si="0"/>
        <v>数值</v>
      </c>
      <c r="P6" s="31"/>
    </row>
    <row r="7" spans="2:16">
      <c r="B7" s="31"/>
      <c r="C7" s="31"/>
      <c r="D7" s="31"/>
      <c r="E7" s="31"/>
      <c r="F7" s="31"/>
      <c r="G7" s="31"/>
      <c r="H7" s="31"/>
      <c r="I7" s="31"/>
      <c r="J7" s="89" t="s">
        <v>93</v>
      </c>
      <c r="K7" s="31" t="s">
        <v>94</v>
      </c>
      <c r="L7" s="31"/>
      <c r="M7" s="31"/>
      <c r="N7" s="31" t="s">
        <v>79</v>
      </c>
      <c r="O7" s="31" t="str">
        <f t="shared" si="0"/>
        <v>类型</v>
      </c>
      <c r="P7" s="31"/>
    </row>
    <row r="8" spans="2:16">
      <c r="B8" s="167" t="s">
        <v>95</v>
      </c>
      <c r="C8" s="30"/>
      <c r="D8" s="30"/>
      <c r="E8" s="30"/>
      <c r="F8" s="167" t="s">
        <v>96</v>
      </c>
      <c r="G8" s="30" t="str">
        <f>F8</f>
        <v>角色预设</v>
      </c>
      <c r="H8" s="30"/>
      <c r="I8" s="30"/>
      <c r="J8" s="30" t="s">
        <v>97</v>
      </c>
      <c r="K8" s="167" t="s">
        <v>98</v>
      </c>
      <c r="L8" s="30"/>
      <c r="M8" s="30"/>
      <c r="N8" s="30" t="s">
        <v>99</v>
      </c>
      <c r="O8" s="30" t="str">
        <f t="shared" si="0"/>
        <v>能力值</v>
      </c>
      <c r="P8" s="30"/>
    </row>
    <row r="9" spans="2:16">
      <c r="B9" s="30"/>
      <c r="C9" s="30"/>
      <c r="D9" s="30"/>
      <c r="E9" s="30"/>
      <c r="F9" s="30"/>
      <c r="G9" s="30"/>
      <c r="H9" s="30"/>
      <c r="I9" s="30"/>
      <c r="J9" s="30" t="s">
        <v>100</v>
      </c>
      <c r="K9" s="167" t="s">
        <v>101</v>
      </c>
      <c r="L9" s="30"/>
      <c r="M9" s="30"/>
      <c r="N9" s="30" t="s">
        <v>102</v>
      </c>
      <c r="O9" s="30" t="str">
        <f t="shared" si="0"/>
        <v>伤害抗性</v>
      </c>
      <c r="P9" s="30"/>
    </row>
    <row r="10" spans="2:16">
      <c r="B10" s="30"/>
      <c r="C10" s="30"/>
      <c r="D10" s="30"/>
      <c r="E10" s="30"/>
      <c r="F10" s="30"/>
      <c r="G10" s="30"/>
      <c r="H10" s="30"/>
      <c r="I10" s="30"/>
      <c r="J10" s="30" t="s">
        <v>103</v>
      </c>
      <c r="K10" s="30" t="s">
        <v>85</v>
      </c>
      <c r="L10" s="30"/>
      <c r="M10" s="30"/>
      <c r="N10" s="30" t="s">
        <v>104</v>
      </c>
      <c r="O10" s="30" t="str">
        <f t="shared" si="0"/>
        <v>护甲等级</v>
      </c>
      <c r="P10" s="30"/>
    </row>
    <row r="11" spans="2:16">
      <c r="B11" s="30"/>
      <c r="C11" s="30"/>
      <c r="D11" s="30"/>
      <c r="E11" s="30"/>
      <c r="F11" s="30"/>
      <c r="G11" s="30"/>
      <c r="H11" s="30"/>
      <c r="I11" s="30"/>
      <c r="J11" s="30" t="s">
        <v>105</v>
      </c>
      <c r="K11" s="30" t="s">
        <v>85</v>
      </c>
      <c r="L11" s="30"/>
      <c r="M11" s="30"/>
      <c r="N11" s="30" t="s">
        <v>106</v>
      </c>
      <c r="O11" s="30" t="str">
        <f t="shared" si="0"/>
        <v>移动力</v>
      </c>
      <c r="P11" s="30"/>
    </row>
    <row r="12" spans="2:16">
      <c r="B12" s="30"/>
      <c r="C12" s="30"/>
      <c r="D12" s="30"/>
      <c r="E12" s="30"/>
      <c r="F12" s="30"/>
      <c r="G12" s="30"/>
      <c r="H12" s="30"/>
      <c r="I12" s="30"/>
      <c r="J12" s="167" t="s">
        <v>107</v>
      </c>
      <c r="K12" s="30" t="s">
        <v>85</v>
      </c>
      <c r="L12" s="30"/>
      <c r="M12" s="30"/>
      <c r="N12" s="30" t="s">
        <v>108</v>
      </c>
      <c r="O12" s="30" t="str">
        <f t="shared" si="0"/>
        <v>先攻</v>
      </c>
      <c r="P12" s="30"/>
    </row>
    <row r="13" spans="2:16">
      <c r="B13" s="30"/>
      <c r="C13" s="30"/>
      <c r="D13" s="30"/>
      <c r="E13" s="30"/>
      <c r="F13" s="30"/>
      <c r="G13" s="30"/>
      <c r="H13" s="30"/>
      <c r="I13" s="30"/>
      <c r="J13" s="167" t="s">
        <v>109</v>
      </c>
      <c r="K13" s="167" t="s">
        <v>110</v>
      </c>
      <c r="L13" s="30"/>
      <c r="M13" s="30"/>
      <c r="N13" s="167" t="s">
        <v>111</v>
      </c>
      <c r="O13" s="30" t="str">
        <f t="shared" si="0"/>
        <v>能力</v>
      </c>
      <c r="P13" s="30"/>
    </row>
    <row r="14" spans="2:16">
      <c r="B14" s="104" t="s">
        <v>98</v>
      </c>
      <c r="C14" s="104"/>
      <c r="D14" s="104"/>
      <c r="E14" s="104"/>
      <c r="F14" s="104" t="s">
        <v>99</v>
      </c>
      <c r="G14" s="104" t="str">
        <f>F14</f>
        <v>能力值</v>
      </c>
      <c r="H14" s="104"/>
      <c r="I14" s="104"/>
      <c r="J14" s="104" t="s">
        <v>112</v>
      </c>
      <c r="K14" s="104" t="s">
        <v>85</v>
      </c>
      <c r="L14" s="104"/>
      <c r="M14" s="104"/>
      <c r="N14" s="104" t="s">
        <v>113</v>
      </c>
      <c r="O14" s="104" t="str">
        <f t="shared" si="0"/>
        <v>力量</v>
      </c>
      <c r="P14" s="104"/>
    </row>
    <row r="15" spans="2:16">
      <c r="B15" s="104"/>
      <c r="C15" s="104"/>
      <c r="D15" s="104"/>
      <c r="E15" s="104"/>
      <c r="F15" s="104"/>
      <c r="G15" s="104"/>
      <c r="H15" s="104"/>
      <c r="I15" s="104"/>
      <c r="J15" s="104" t="s">
        <v>114</v>
      </c>
      <c r="K15" s="104" t="s">
        <v>85</v>
      </c>
      <c r="L15" s="104"/>
      <c r="M15" s="104"/>
      <c r="N15" s="104" t="s">
        <v>115</v>
      </c>
      <c r="O15" s="104" t="str">
        <f t="shared" si="0"/>
        <v>敏捷</v>
      </c>
      <c r="P15" s="104"/>
    </row>
    <row r="16" spans="2:16">
      <c r="B16" s="104"/>
      <c r="C16" s="104"/>
      <c r="D16" s="104"/>
      <c r="E16" s="104"/>
      <c r="F16" s="104"/>
      <c r="G16" s="104"/>
      <c r="H16" s="104"/>
      <c r="I16" s="104"/>
      <c r="J16" s="104" t="s">
        <v>116</v>
      </c>
      <c r="K16" s="104" t="s">
        <v>85</v>
      </c>
      <c r="L16" s="104"/>
      <c r="M16" s="104"/>
      <c r="N16" s="104" t="s">
        <v>117</v>
      </c>
      <c r="O16" s="104" t="str">
        <f t="shared" si="0"/>
        <v>体质</v>
      </c>
      <c r="P16" s="104"/>
    </row>
    <row r="17" spans="2:16">
      <c r="B17" s="104"/>
      <c r="C17" s="104"/>
      <c r="D17" s="104"/>
      <c r="E17" s="104"/>
      <c r="F17" s="104"/>
      <c r="G17" s="104"/>
      <c r="H17" s="104"/>
      <c r="I17" s="104"/>
      <c r="J17" s="104" t="s">
        <v>118</v>
      </c>
      <c r="K17" s="104" t="s">
        <v>85</v>
      </c>
      <c r="L17" s="104"/>
      <c r="M17" s="104"/>
      <c r="N17" s="104" t="s">
        <v>119</v>
      </c>
      <c r="O17" s="104" t="str">
        <f t="shared" si="0"/>
        <v>智力</v>
      </c>
      <c r="P17" s="104"/>
    </row>
    <row r="18" spans="2:16">
      <c r="B18" s="104"/>
      <c r="C18" s="104"/>
      <c r="D18" s="104"/>
      <c r="E18" s="104"/>
      <c r="F18" s="104"/>
      <c r="G18" s="104"/>
      <c r="H18" s="104"/>
      <c r="I18" s="104"/>
      <c r="J18" s="104" t="s">
        <v>120</v>
      </c>
      <c r="K18" s="104" t="s">
        <v>85</v>
      </c>
      <c r="L18" s="104"/>
      <c r="M18" s="104"/>
      <c r="N18" s="104" t="s">
        <v>121</v>
      </c>
      <c r="O18" s="104" t="str">
        <f t="shared" si="0"/>
        <v>感知</v>
      </c>
      <c r="P18" s="104"/>
    </row>
    <row r="19" spans="2:16">
      <c r="B19" s="104"/>
      <c r="C19" s="104"/>
      <c r="D19" s="104"/>
      <c r="E19" s="104"/>
      <c r="F19" s="104"/>
      <c r="G19" s="104"/>
      <c r="H19" s="104"/>
      <c r="I19" s="104"/>
      <c r="J19" s="104" t="s">
        <v>122</v>
      </c>
      <c r="K19" s="104" t="s">
        <v>85</v>
      </c>
      <c r="L19" s="104"/>
      <c r="M19" s="104"/>
      <c r="N19" s="104" t="s">
        <v>123</v>
      </c>
      <c r="O19" s="104" t="str">
        <f t="shared" si="0"/>
        <v>魅力</v>
      </c>
      <c r="P19" s="104"/>
    </row>
    <row r="20" spans="2:16">
      <c r="B20" s="30" t="s">
        <v>124</v>
      </c>
      <c r="C20" s="30"/>
      <c r="D20" s="30"/>
      <c r="E20" s="30"/>
      <c r="F20" s="30" t="s">
        <v>125</v>
      </c>
      <c r="G20" s="30" t="str">
        <f>F20</f>
        <v>预设角色道具</v>
      </c>
      <c r="H20" s="30"/>
      <c r="I20" s="30"/>
      <c r="J20" s="167" t="s">
        <v>126</v>
      </c>
      <c r="K20" s="167" t="s">
        <v>127</v>
      </c>
      <c r="L20" s="30"/>
      <c r="M20" s="30"/>
      <c r="N20" s="30" t="s">
        <v>128</v>
      </c>
      <c r="O20" s="30" t="str">
        <f t="shared" si="0"/>
        <v>主手</v>
      </c>
      <c r="P20" s="30"/>
    </row>
    <row r="21" spans="2:16">
      <c r="B21" s="30"/>
      <c r="C21" s="30"/>
      <c r="D21" s="30"/>
      <c r="E21" s="30"/>
      <c r="F21" s="30"/>
      <c r="G21" s="30"/>
      <c r="H21" s="30"/>
      <c r="I21" s="30"/>
      <c r="J21" s="167" t="s">
        <v>129</v>
      </c>
      <c r="K21" s="167" t="s">
        <v>127</v>
      </c>
      <c r="L21" s="30"/>
      <c r="M21" s="30"/>
      <c r="N21" s="30" t="s">
        <v>130</v>
      </c>
      <c r="O21" s="30" t="str">
        <f t="shared" si="0"/>
        <v>副手</v>
      </c>
      <c r="P21" s="30"/>
    </row>
    <row r="22" spans="2:16">
      <c r="B22" s="30"/>
      <c r="C22" s="30"/>
      <c r="D22" s="30"/>
      <c r="E22" s="30"/>
      <c r="F22" s="30"/>
      <c r="G22" s="30"/>
      <c r="H22" s="30"/>
      <c r="I22" s="30"/>
      <c r="J22" s="167" t="s">
        <v>131</v>
      </c>
      <c r="K22" s="167" t="s">
        <v>127</v>
      </c>
      <c r="L22" s="30"/>
      <c r="M22" s="30"/>
      <c r="N22" s="30" t="s">
        <v>132</v>
      </c>
      <c r="O22" s="30" t="str">
        <f t="shared" si="0"/>
        <v>甲</v>
      </c>
      <c r="P22" s="30"/>
    </row>
    <row r="23" spans="2:16">
      <c r="B23" s="30"/>
      <c r="C23" s="30"/>
      <c r="D23" s="30"/>
      <c r="E23" s="30"/>
      <c r="F23" s="30"/>
      <c r="G23" s="30"/>
      <c r="H23" s="30"/>
      <c r="I23" s="30"/>
      <c r="J23" s="167" t="s">
        <v>133</v>
      </c>
      <c r="K23" s="167" t="s">
        <v>134</v>
      </c>
      <c r="L23" s="30"/>
      <c r="M23" s="30"/>
      <c r="N23" s="30" t="s">
        <v>135</v>
      </c>
      <c r="O23" s="30" t="str">
        <f t="shared" si="0"/>
        <v>奇物</v>
      </c>
      <c r="P23" s="30"/>
    </row>
    <row r="24" spans="1:16">
      <c r="A24" s="10"/>
      <c r="B24" s="104" t="s">
        <v>136</v>
      </c>
      <c r="C24" s="104"/>
      <c r="D24" s="104"/>
      <c r="E24" s="104"/>
      <c r="F24" s="104" t="s">
        <v>137</v>
      </c>
      <c r="G24" s="104" t="str">
        <f>F24</f>
        <v>最大生命值</v>
      </c>
      <c r="H24" s="104"/>
      <c r="I24" s="104"/>
      <c r="J24" s="104"/>
      <c r="K24" s="104"/>
      <c r="L24" s="104"/>
      <c r="M24" s="104"/>
      <c r="N24" s="104"/>
      <c r="O24" s="104"/>
      <c r="P24" s="104"/>
    </row>
    <row r="25" spans="2:16">
      <c r="B25" s="104" t="s">
        <v>138</v>
      </c>
      <c r="C25" s="104" t="s">
        <v>136</v>
      </c>
      <c r="D25" s="104"/>
      <c r="E25" s="104" t="s">
        <v>139</v>
      </c>
      <c r="F25" s="104" t="s">
        <v>140</v>
      </c>
      <c r="G25" s="104" t="str">
        <f>F25</f>
        <v>骰子生命值</v>
      </c>
      <c r="H25" s="104"/>
      <c r="I25" s="104"/>
      <c r="J25" s="104" t="s">
        <v>91</v>
      </c>
      <c r="K25" s="104" t="s">
        <v>81</v>
      </c>
      <c r="L25" s="104"/>
      <c r="M25" s="104"/>
      <c r="N25" s="104" t="s">
        <v>83</v>
      </c>
      <c r="O25" s="104" t="str">
        <f>N25</f>
        <v>骰子</v>
      </c>
      <c r="P25" s="104"/>
    </row>
    <row r="26" spans="2:16">
      <c r="B26" s="104"/>
      <c r="C26" s="104"/>
      <c r="D26" s="104"/>
      <c r="E26" s="104"/>
      <c r="F26" s="104"/>
      <c r="G26" s="104"/>
      <c r="H26" s="104"/>
      <c r="I26" s="104"/>
      <c r="J26" s="104" t="s">
        <v>141</v>
      </c>
      <c r="K26" s="104" t="s">
        <v>85</v>
      </c>
      <c r="L26" s="104"/>
      <c r="M26" s="104"/>
      <c r="N26" s="104" t="s">
        <v>142</v>
      </c>
      <c r="O26" s="104" t="str">
        <f>N26</f>
        <v>基础值</v>
      </c>
      <c r="P26" s="104"/>
    </row>
    <row r="27" spans="2:16">
      <c r="B27" s="104" t="s">
        <v>143</v>
      </c>
      <c r="C27" s="104" t="s">
        <v>136</v>
      </c>
      <c r="D27" s="104"/>
      <c r="E27" s="104"/>
      <c r="F27" s="104" t="s">
        <v>144</v>
      </c>
      <c r="G27" s="104" t="str">
        <f>F27</f>
        <v>职业生命值</v>
      </c>
      <c r="H27" s="104"/>
      <c r="I27" s="104"/>
      <c r="J27" s="104"/>
      <c r="K27" s="104"/>
      <c r="L27" s="104"/>
      <c r="M27" s="104"/>
      <c r="N27" s="104"/>
      <c r="O27" s="104"/>
      <c r="P27" s="104"/>
    </row>
    <row r="28" spans="2:16">
      <c r="B28" s="30" t="s">
        <v>145</v>
      </c>
      <c r="C28" s="30"/>
      <c r="D28" s="30"/>
      <c r="E28" s="30"/>
      <c r="F28" s="30" t="s">
        <v>146</v>
      </c>
      <c r="G28" s="30" t="str">
        <f>F28</f>
        <v>道具信息</v>
      </c>
      <c r="H28" s="30"/>
      <c r="I28" s="30"/>
      <c r="J28" s="30"/>
      <c r="K28" s="30"/>
      <c r="L28" s="30"/>
      <c r="M28" s="30"/>
      <c r="N28" s="30"/>
      <c r="O28" s="30"/>
      <c r="P28" s="30"/>
    </row>
    <row r="29" spans="2:16">
      <c r="B29" s="167" t="s">
        <v>147</v>
      </c>
      <c r="C29" s="167" t="s">
        <v>145</v>
      </c>
      <c r="D29" s="30"/>
      <c r="E29" s="30"/>
      <c r="F29" s="167" t="s">
        <v>148</v>
      </c>
      <c r="G29" s="167" t="s">
        <v>148</v>
      </c>
      <c r="H29" s="30"/>
      <c r="I29" s="30"/>
      <c r="J29" s="30"/>
      <c r="K29" s="30"/>
      <c r="L29" s="30"/>
      <c r="M29" s="30"/>
      <c r="N29" s="30"/>
      <c r="O29" s="30"/>
      <c r="P29" s="30"/>
    </row>
    <row r="30" spans="2:16">
      <c r="B30" s="30" t="s">
        <v>149</v>
      </c>
      <c r="C30" s="167" t="s">
        <v>145</v>
      </c>
      <c r="D30" s="30"/>
      <c r="E30" s="30"/>
      <c r="F30" s="30" t="s">
        <v>150</v>
      </c>
      <c r="G30" s="30" t="str">
        <f>F30</f>
        <v>武器信息</v>
      </c>
      <c r="H30" s="30"/>
      <c r="I30" s="30"/>
      <c r="J30" s="30" t="s">
        <v>73</v>
      </c>
      <c r="K30" s="30" t="s">
        <v>151</v>
      </c>
      <c r="L30" s="30"/>
      <c r="M30" s="30"/>
      <c r="N30" s="30" t="s">
        <v>152</v>
      </c>
      <c r="O30" s="30" t="str">
        <f>N30</f>
        <v>基础类型</v>
      </c>
      <c r="P30" s="30"/>
    </row>
    <row r="31" spans="2:16">
      <c r="B31" s="167" t="s">
        <v>153</v>
      </c>
      <c r="C31" s="167" t="s">
        <v>145</v>
      </c>
      <c r="D31" s="30"/>
      <c r="E31" s="30" t="s">
        <v>154</v>
      </c>
      <c r="F31" s="167" t="s">
        <v>155</v>
      </c>
      <c r="G31" s="30" t="str">
        <f>F31</f>
        <v>无甲信息</v>
      </c>
      <c r="H31" s="30"/>
      <c r="I31" s="30"/>
      <c r="J31" s="167"/>
      <c r="K31" s="167"/>
      <c r="L31" s="30"/>
      <c r="M31" s="30"/>
      <c r="N31" s="167"/>
      <c r="O31" s="167"/>
      <c r="P31" s="30"/>
    </row>
    <row r="32" spans="2:16">
      <c r="B32" s="167" t="s">
        <v>156</v>
      </c>
      <c r="C32" s="167" t="s">
        <v>145</v>
      </c>
      <c r="D32" s="30"/>
      <c r="E32" s="30" t="s">
        <v>154</v>
      </c>
      <c r="F32" s="167" t="s">
        <v>157</v>
      </c>
      <c r="G32" s="30" t="str">
        <f>F32</f>
        <v>轻甲信息</v>
      </c>
      <c r="H32" s="30"/>
      <c r="I32" s="30"/>
      <c r="J32" s="167" t="s">
        <v>103</v>
      </c>
      <c r="K32" s="167" t="s">
        <v>85</v>
      </c>
      <c r="L32" s="30"/>
      <c r="M32" s="30"/>
      <c r="N32" s="167" t="s">
        <v>104</v>
      </c>
      <c r="O32" s="167" t="s">
        <v>104</v>
      </c>
      <c r="P32" s="30"/>
    </row>
    <row r="33" spans="2:16">
      <c r="B33" s="167" t="s">
        <v>158</v>
      </c>
      <c r="C33" s="167" t="s">
        <v>145</v>
      </c>
      <c r="D33" s="30"/>
      <c r="E33" s="30" t="s">
        <v>154</v>
      </c>
      <c r="F33" s="167" t="s">
        <v>159</v>
      </c>
      <c r="G33" s="167" t="s">
        <v>159</v>
      </c>
      <c r="H33" s="30"/>
      <c r="I33" s="30"/>
      <c r="J33" s="167" t="s">
        <v>103</v>
      </c>
      <c r="K33" s="167" t="s">
        <v>85</v>
      </c>
      <c r="L33" s="30"/>
      <c r="M33" s="30"/>
      <c r="N33" s="167" t="s">
        <v>104</v>
      </c>
      <c r="O33" s="167" t="s">
        <v>104</v>
      </c>
      <c r="P33" s="30"/>
    </row>
    <row r="34" spans="2:16">
      <c r="B34" s="167"/>
      <c r="C34" s="30"/>
      <c r="D34" s="30"/>
      <c r="E34" s="30"/>
      <c r="F34" s="167"/>
      <c r="G34" s="30"/>
      <c r="H34" s="30"/>
      <c r="I34" s="30"/>
      <c r="J34" s="167" t="s">
        <v>160</v>
      </c>
      <c r="K34" s="167" t="s">
        <v>85</v>
      </c>
      <c r="L34" s="30"/>
      <c r="M34" s="30"/>
      <c r="N34" s="167" t="s">
        <v>161</v>
      </c>
      <c r="O34" s="167" t="str">
        <f>N34</f>
        <v>调整值上限</v>
      </c>
      <c r="P34" s="30"/>
    </row>
    <row r="35" spans="2:16">
      <c r="B35" s="167" t="s">
        <v>162</v>
      </c>
      <c r="C35" s="167" t="s">
        <v>145</v>
      </c>
      <c r="D35" s="30"/>
      <c r="E35" s="30" t="s">
        <v>154</v>
      </c>
      <c r="F35" s="167" t="s">
        <v>163</v>
      </c>
      <c r="G35" s="30" t="str">
        <f>F35</f>
        <v>重甲信息</v>
      </c>
      <c r="H35" s="30"/>
      <c r="I35" s="30"/>
      <c r="J35" s="167" t="s">
        <v>103</v>
      </c>
      <c r="K35" s="167" t="s">
        <v>85</v>
      </c>
      <c r="L35" s="30"/>
      <c r="M35" s="30"/>
      <c r="N35" s="167" t="s">
        <v>104</v>
      </c>
      <c r="O35" s="167" t="s">
        <v>104</v>
      </c>
      <c r="P35" s="30"/>
    </row>
    <row r="36" spans="2:16">
      <c r="B36" s="30"/>
      <c r="C36" s="30"/>
      <c r="D36" s="30"/>
      <c r="E36" s="30"/>
      <c r="F36" s="30"/>
      <c r="G36" s="30"/>
      <c r="H36" s="30"/>
      <c r="I36" s="30"/>
      <c r="J36" s="167" t="s">
        <v>164</v>
      </c>
      <c r="K36" s="167" t="s">
        <v>85</v>
      </c>
      <c r="L36" s="30"/>
      <c r="M36" s="30"/>
      <c r="N36" s="167" t="s">
        <v>165</v>
      </c>
      <c r="O36" s="30" t="str">
        <f>N36</f>
        <v>装备力量需求</v>
      </c>
      <c r="P36" s="30"/>
    </row>
    <row r="37" spans="2:16">
      <c r="B37" s="167" t="s">
        <v>166</v>
      </c>
      <c r="C37" s="167" t="s">
        <v>145</v>
      </c>
      <c r="D37" s="30"/>
      <c r="E37" s="30" t="s">
        <v>154</v>
      </c>
      <c r="F37" s="167" t="s">
        <v>167</v>
      </c>
      <c r="G37" s="30" t="str">
        <f>F37</f>
        <v>盾牌信息</v>
      </c>
      <c r="H37" s="30"/>
      <c r="I37" s="30"/>
      <c r="J37" s="167" t="s">
        <v>103</v>
      </c>
      <c r="K37" s="167" t="s">
        <v>85</v>
      </c>
      <c r="L37" s="30"/>
      <c r="M37" s="30"/>
      <c r="N37" s="167" t="s">
        <v>104</v>
      </c>
      <c r="O37" s="167" t="s">
        <v>104</v>
      </c>
      <c r="P37" s="30"/>
    </row>
    <row r="38" spans="2:16">
      <c r="B38" s="30" t="s">
        <v>168</v>
      </c>
      <c r="C38" s="167" t="s">
        <v>145</v>
      </c>
      <c r="D38" s="30"/>
      <c r="E38" s="30"/>
      <c r="F38" s="30" t="s">
        <v>169</v>
      </c>
      <c r="G38" s="30" t="s">
        <v>169</v>
      </c>
      <c r="H38" s="30"/>
      <c r="I38" s="30"/>
      <c r="J38" s="30"/>
      <c r="K38" s="30"/>
      <c r="L38" s="30"/>
      <c r="M38" s="30"/>
      <c r="N38" s="30"/>
      <c r="O38" s="30"/>
      <c r="P38" s="30"/>
    </row>
    <row r="39" spans="2:16">
      <c r="B39" s="104" t="s">
        <v>170</v>
      </c>
      <c r="C39" s="104"/>
      <c r="D39" s="104"/>
      <c r="E39" s="104"/>
      <c r="F39" s="104" t="s">
        <v>171</v>
      </c>
      <c r="G39" s="104"/>
      <c r="H39" s="104"/>
      <c r="I39" s="104"/>
      <c r="J39" s="104" t="s">
        <v>172</v>
      </c>
      <c r="K39" s="104" t="s">
        <v>85</v>
      </c>
      <c r="L39" s="104"/>
      <c r="M39" s="104"/>
      <c r="N39" s="104" t="s">
        <v>173</v>
      </c>
      <c r="O39" s="104" t="str">
        <f>N39</f>
        <v>角色id</v>
      </c>
      <c r="P39" s="104"/>
    </row>
    <row r="40" spans="2:16">
      <c r="B40" s="104"/>
      <c r="C40" s="104"/>
      <c r="D40" s="104"/>
      <c r="E40" s="104"/>
      <c r="F40" s="104"/>
      <c r="G40" s="104"/>
      <c r="H40" s="104"/>
      <c r="I40" s="104"/>
      <c r="J40" s="104" t="s">
        <v>174</v>
      </c>
      <c r="K40" s="104" t="s">
        <v>85</v>
      </c>
      <c r="L40" s="104"/>
      <c r="M40" s="104"/>
      <c r="N40" s="104" t="s">
        <v>175</v>
      </c>
      <c r="O40" s="104" t="str">
        <f>N40</f>
        <v>排</v>
      </c>
      <c r="P40" s="104"/>
    </row>
    <row r="41" spans="2:16">
      <c r="B41" s="104"/>
      <c r="C41" s="104"/>
      <c r="D41" s="104"/>
      <c r="E41" s="104"/>
      <c r="F41" s="104"/>
      <c r="G41" s="104"/>
      <c r="H41" s="104"/>
      <c r="I41" s="104"/>
      <c r="J41" s="104" t="s">
        <v>176</v>
      </c>
      <c r="K41" s="104" t="s">
        <v>85</v>
      </c>
      <c r="L41" s="104"/>
      <c r="M41" s="104"/>
      <c r="N41" s="104" t="s">
        <v>177</v>
      </c>
      <c r="O41" s="104" t="str">
        <f>N41</f>
        <v>列</v>
      </c>
      <c r="P41" s="104"/>
    </row>
  </sheetData>
  <sheetProtection formatCells="0" formatColumns="0" formatRows="0" insertRows="0" insertColumns="0" insertHyperlinks="0" deleteColumns="0" deleteRows="0" sort="0" autoFilter="0" pivotTables="0"/>
  <mergeCells count="1">
    <mergeCell ref="J1:P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9"/>
  <sheetViews>
    <sheetView topLeftCell="H28" workbookViewId="0">
      <selection activeCell="H28" sqref="H28"/>
    </sheetView>
  </sheetViews>
  <sheetFormatPr defaultColWidth="9" defaultRowHeight="14.25"/>
  <cols>
    <col min="1" max="1" width="8.725" style="10"/>
    <col min="2" max="2" width="27.8166666666667" style="15" customWidth="1"/>
    <col min="3" max="3" width="16.6333333333333" style="6" customWidth="1"/>
    <col min="4" max="4" width="16.275" style="6" customWidth="1"/>
    <col min="5" max="5" width="8.725" style="15"/>
    <col min="6" max="6" width="16.275" style="15" customWidth="1"/>
    <col min="7" max="7" width="8.725" style="15"/>
    <col min="8" max="8" width="21.9083333333333" style="6" customWidth="1"/>
    <col min="9" max="9" width="8.725" style="6"/>
    <col min="10" max="10" width="16.2083333333333" style="6" customWidth="1"/>
    <col min="11" max="12" width="8.725" style="6"/>
  </cols>
  <sheetData>
    <row r="1" spans="1:12">
      <c r="A1" s="146" t="s">
        <v>0</v>
      </c>
      <c r="B1" s="147" t="s">
        <v>2</v>
      </c>
      <c r="C1" s="147" t="s">
        <v>178</v>
      </c>
      <c r="D1" s="147" t="s">
        <v>179</v>
      </c>
      <c r="E1" s="147" t="s">
        <v>8</v>
      </c>
      <c r="F1" s="147" t="s">
        <v>9</v>
      </c>
      <c r="G1" s="147" t="s">
        <v>10</v>
      </c>
      <c r="H1" s="147" t="s">
        <v>180</v>
      </c>
      <c r="I1" s="147"/>
      <c r="J1" s="147"/>
      <c r="K1" s="147"/>
      <c r="L1" s="147"/>
    </row>
    <row r="2" spans="1:12">
      <c r="A2" s="146" t="s">
        <v>0</v>
      </c>
      <c r="B2" s="147"/>
      <c r="C2" s="147"/>
      <c r="D2" s="147"/>
      <c r="E2" s="147"/>
      <c r="F2" s="147"/>
      <c r="G2" s="147"/>
      <c r="H2" s="147" t="s">
        <v>72</v>
      </c>
      <c r="I2" s="147" t="s">
        <v>70</v>
      </c>
      <c r="J2" s="147" t="s">
        <v>181</v>
      </c>
      <c r="K2" s="147" t="s">
        <v>9</v>
      </c>
      <c r="L2" s="147" t="s">
        <v>10</v>
      </c>
    </row>
    <row r="3" spans="1:12">
      <c r="A3" s="146" t="s">
        <v>12</v>
      </c>
      <c r="B3" s="148" t="s">
        <v>13</v>
      </c>
      <c r="C3" s="148" t="s">
        <v>182</v>
      </c>
      <c r="D3" s="147" t="s">
        <v>183</v>
      </c>
      <c r="E3" s="147"/>
      <c r="F3" s="147"/>
      <c r="G3" s="147"/>
      <c r="H3" s="147" t="s">
        <v>184</v>
      </c>
      <c r="I3" s="147" t="s">
        <v>77</v>
      </c>
      <c r="J3" s="147" t="s">
        <v>185</v>
      </c>
      <c r="K3" s="147" t="s">
        <v>20</v>
      </c>
      <c r="L3" s="147"/>
    </row>
    <row r="4" spans="1:12">
      <c r="A4" s="5"/>
      <c r="B4" s="149" t="s">
        <v>186</v>
      </c>
      <c r="C4" s="149"/>
      <c r="D4" s="149"/>
      <c r="E4" s="149"/>
      <c r="F4" s="149" t="s">
        <v>187</v>
      </c>
      <c r="G4" s="149"/>
      <c r="H4" s="149" t="s">
        <v>188</v>
      </c>
      <c r="I4" s="149" t="s">
        <v>189</v>
      </c>
      <c r="J4" s="149">
        <v>0</v>
      </c>
      <c r="K4" s="149" t="str">
        <f>I4</f>
        <v>无</v>
      </c>
      <c r="L4" s="149"/>
    </row>
    <row r="5" ht="14.5" customHeight="1" spans="1:12">
      <c r="A5" s="5"/>
      <c r="B5" s="149"/>
      <c r="C5" s="149"/>
      <c r="D5" s="149"/>
      <c r="E5" s="149"/>
      <c r="F5" s="149"/>
      <c r="G5" s="149"/>
      <c r="H5" s="149" t="s">
        <v>190</v>
      </c>
      <c r="I5" s="149" t="s">
        <v>113</v>
      </c>
      <c r="J5" s="149">
        <v>1</v>
      </c>
      <c r="K5" s="149" t="s">
        <v>113</v>
      </c>
      <c r="L5" s="149"/>
    </row>
    <row r="6" ht="14.5" customHeight="1" spans="1:12">
      <c r="A6" s="5"/>
      <c r="B6" s="149"/>
      <c r="C6" s="149"/>
      <c r="D6" s="149"/>
      <c r="E6" s="149"/>
      <c r="F6" s="149"/>
      <c r="G6" s="149"/>
      <c r="H6" s="149" t="s">
        <v>191</v>
      </c>
      <c r="I6" s="149" t="s">
        <v>115</v>
      </c>
      <c r="J6" s="149">
        <v>2</v>
      </c>
      <c r="K6" s="149" t="str">
        <f t="shared" ref="K6:K10" si="0">I6</f>
        <v>敏捷</v>
      </c>
      <c r="L6" s="149"/>
    </row>
    <row r="7" ht="14.5" customHeight="1" spans="1:12">
      <c r="A7" s="5"/>
      <c r="B7" s="149"/>
      <c r="C7" s="149"/>
      <c r="D7" s="149"/>
      <c r="E7" s="149"/>
      <c r="F7" s="149"/>
      <c r="G7" s="149"/>
      <c r="H7" s="149" t="s">
        <v>192</v>
      </c>
      <c r="I7" s="149" t="s">
        <v>117</v>
      </c>
      <c r="J7" s="149">
        <v>3</v>
      </c>
      <c r="K7" s="149" t="str">
        <f t="shared" si="0"/>
        <v>体质</v>
      </c>
      <c r="L7" s="149"/>
    </row>
    <row r="8" ht="14.5" customHeight="1" spans="1:12">
      <c r="A8" s="5"/>
      <c r="B8" s="149"/>
      <c r="C8" s="149"/>
      <c r="D8" s="149"/>
      <c r="E8" s="149"/>
      <c r="F8" s="149"/>
      <c r="G8" s="149"/>
      <c r="H8" s="149" t="s">
        <v>193</v>
      </c>
      <c r="I8" s="149" t="s">
        <v>119</v>
      </c>
      <c r="J8" s="149">
        <v>4</v>
      </c>
      <c r="K8" s="149" t="str">
        <f t="shared" si="0"/>
        <v>智力</v>
      </c>
      <c r="L8" s="149"/>
    </row>
    <row r="9" ht="14.5" customHeight="1" spans="1:12">
      <c r="A9" s="5"/>
      <c r="B9" s="149"/>
      <c r="C9" s="149"/>
      <c r="D9" s="149"/>
      <c r="E9" s="149"/>
      <c r="F9" s="149"/>
      <c r="G9" s="149"/>
      <c r="H9" s="149" t="s">
        <v>194</v>
      </c>
      <c r="I9" s="149" t="s">
        <v>121</v>
      </c>
      <c r="J9" s="149">
        <v>5</v>
      </c>
      <c r="K9" s="149" t="str">
        <f t="shared" si="0"/>
        <v>感知</v>
      </c>
      <c r="L9" s="149"/>
    </row>
    <row r="10" ht="14.5" customHeight="1" spans="1:12">
      <c r="A10" s="5"/>
      <c r="B10" s="149"/>
      <c r="C10" s="149"/>
      <c r="D10" s="149"/>
      <c r="E10" s="149"/>
      <c r="F10" s="149"/>
      <c r="G10" s="149"/>
      <c r="H10" s="149" t="s">
        <v>195</v>
      </c>
      <c r="I10" s="149" t="s">
        <v>123</v>
      </c>
      <c r="J10" s="149">
        <v>6</v>
      </c>
      <c r="K10" s="149" t="str">
        <f t="shared" si="0"/>
        <v>魅力</v>
      </c>
      <c r="L10" s="149"/>
    </row>
    <row r="11" ht="14.5" customHeight="1" spans="1:12">
      <c r="A11" s="5"/>
      <c r="B11" s="150" t="s">
        <v>196</v>
      </c>
      <c r="C11" s="150">
        <v>0</v>
      </c>
      <c r="D11" s="150">
        <v>1</v>
      </c>
      <c r="E11" s="150"/>
      <c r="F11" s="150" t="s">
        <v>197</v>
      </c>
      <c r="G11" s="150"/>
      <c r="H11" s="150" t="s">
        <v>198</v>
      </c>
      <c r="I11" s="150" t="s">
        <v>199</v>
      </c>
      <c r="J11" s="150">
        <v>20001</v>
      </c>
      <c r="K11" s="150" t="str">
        <f t="shared" ref="K11:K27" si="1">I11</f>
        <v>野蛮人</v>
      </c>
      <c r="L11" s="150"/>
    </row>
    <row r="12" spans="1:12">
      <c r="A12" s="5"/>
      <c r="B12" s="150"/>
      <c r="C12" s="150"/>
      <c r="D12" s="150"/>
      <c r="E12" s="150"/>
      <c r="F12" s="150"/>
      <c r="G12" s="150"/>
      <c r="H12" s="150" t="s">
        <v>200</v>
      </c>
      <c r="I12" s="150" t="s">
        <v>201</v>
      </c>
      <c r="J12" s="150">
        <v>20002</v>
      </c>
      <c r="K12" s="150" t="str">
        <f t="shared" si="1"/>
        <v>吟游诗人</v>
      </c>
      <c r="L12" s="150"/>
    </row>
    <row r="13" spans="1:12">
      <c r="A13" s="5"/>
      <c r="B13" s="150"/>
      <c r="C13" s="150"/>
      <c r="D13" s="150"/>
      <c r="E13" s="150"/>
      <c r="F13" s="150"/>
      <c r="G13" s="150"/>
      <c r="H13" s="150" t="s">
        <v>202</v>
      </c>
      <c r="I13" s="150" t="s">
        <v>203</v>
      </c>
      <c r="J13" s="150">
        <v>20003</v>
      </c>
      <c r="K13" s="150" t="str">
        <f t="shared" si="1"/>
        <v>牧师</v>
      </c>
      <c r="L13" s="150"/>
    </row>
    <row r="14" spans="1:12">
      <c r="A14" s="5"/>
      <c r="B14" s="150"/>
      <c r="C14" s="150"/>
      <c r="D14" s="150"/>
      <c r="E14" s="150"/>
      <c r="F14" s="150"/>
      <c r="G14" s="150"/>
      <c r="H14" s="150" t="s">
        <v>204</v>
      </c>
      <c r="I14" s="150" t="s">
        <v>205</v>
      </c>
      <c r="J14" s="150">
        <v>20004</v>
      </c>
      <c r="K14" s="150" t="str">
        <f t="shared" si="1"/>
        <v>德鲁伊</v>
      </c>
      <c r="L14" s="150"/>
    </row>
    <row r="15" spans="1:12">
      <c r="A15" s="5"/>
      <c r="B15" s="150"/>
      <c r="C15" s="150"/>
      <c r="D15" s="150"/>
      <c r="E15" s="150"/>
      <c r="F15" s="150"/>
      <c r="G15" s="150"/>
      <c r="H15" s="150" t="s">
        <v>206</v>
      </c>
      <c r="I15" s="150" t="s">
        <v>207</v>
      </c>
      <c r="J15" s="150">
        <v>20005</v>
      </c>
      <c r="K15" s="150" t="str">
        <f t="shared" si="1"/>
        <v>战士</v>
      </c>
      <c r="L15" s="150"/>
    </row>
    <row r="16" spans="1:12">
      <c r="A16" s="5"/>
      <c r="B16" s="150"/>
      <c r="C16" s="150"/>
      <c r="D16" s="150"/>
      <c r="E16" s="150"/>
      <c r="F16" s="150"/>
      <c r="G16" s="150"/>
      <c r="H16" s="150" t="s">
        <v>208</v>
      </c>
      <c r="I16" s="150" t="s">
        <v>209</v>
      </c>
      <c r="J16" s="150">
        <v>20006</v>
      </c>
      <c r="K16" s="150" t="str">
        <f t="shared" si="1"/>
        <v>武僧</v>
      </c>
      <c r="L16" s="150"/>
    </row>
    <row r="17" spans="1:12">
      <c r="A17" s="5"/>
      <c r="B17" s="150"/>
      <c r="C17" s="150"/>
      <c r="D17" s="150"/>
      <c r="E17" s="150"/>
      <c r="F17" s="150"/>
      <c r="G17" s="150"/>
      <c r="H17" s="150" t="s">
        <v>210</v>
      </c>
      <c r="I17" s="150" t="s">
        <v>211</v>
      </c>
      <c r="J17" s="150">
        <v>20007</v>
      </c>
      <c r="K17" s="150" t="str">
        <f t="shared" si="1"/>
        <v>圣武士</v>
      </c>
      <c r="L17" s="150"/>
    </row>
    <row r="18" spans="1:12">
      <c r="A18" s="5"/>
      <c r="B18" s="150"/>
      <c r="C18" s="150"/>
      <c r="D18" s="150"/>
      <c r="E18" s="150"/>
      <c r="F18" s="150"/>
      <c r="G18" s="150"/>
      <c r="H18" s="150" t="s">
        <v>212</v>
      </c>
      <c r="I18" s="150" t="s">
        <v>213</v>
      </c>
      <c r="J18" s="150">
        <v>20008</v>
      </c>
      <c r="K18" s="150" t="str">
        <f t="shared" si="1"/>
        <v>游侠</v>
      </c>
      <c r="L18" s="150"/>
    </row>
    <row r="19" spans="1:12">
      <c r="A19" s="5"/>
      <c r="B19" s="150"/>
      <c r="C19" s="150"/>
      <c r="D19" s="150"/>
      <c r="E19" s="150"/>
      <c r="F19" s="150"/>
      <c r="G19" s="150"/>
      <c r="H19" s="150" t="s">
        <v>214</v>
      </c>
      <c r="I19" s="150" t="s">
        <v>215</v>
      </c>
      <c r="J19" s="150">
        <v>20009</v>
      </c>
      <c r="K19" s="150" t="str">
        <f t="shared" si="1"/>
        <v>游荡者</v>
      </c>
      <c r="L19" s="150"/>
    </row>
    <row r="20" spans="1:12">
      <c r="A20" s="5"/>
      <c r="B20" s="150"/>
      <c r="C20" s="150"/>
      <c r="D20" s="150"/>
      <c r="E20" s="150"/>
      <c r="F20" s="150"/>
      <c r="G20" s="150"/>
      <c r="H20" s="150" t="s">
        <v>216</v>
      </c>
      <c r="I20" s="150" t="s">
        <v>217</v>
      </c>
      <c r="J20" s="150">
        <v>20010</v>
      </c>
      <c r="K20" s="150" t="str">
        <f t="shared" si="1"/>
        <v>术士</v>
      </c>
      <c r="L20" s="150"/>
    </row>
    <row r="21" spans="1:12">
      <c r="A21" s="5"/>
      <c r="B21" s="150"/>
      <c r="C21" s="150"/>
      <c r="D21" s="150"/>
      <c r="E21" s="150"/>
      <c r="F21" s="150"/>
      <c r="G21" s="150"/>
      <c r="H21" s="150" t="s">
        <v>218</v>
      </c>
      <c r="I21" s="150" t="s">
        <v>219</v>
      </c>
      <c r="J21" s="150">
        <v>20011</v>
      </c>
      <c r="K21" s="150" t="str">
        <f t="shared" si="1"/>
        <v>邪术师</v>
      </c>
      <c r="L21" s="150"/>
    </row>
    <row r="22" spans="1:12">
      <c r="A22" s="5"/>
      <c r="B22" s="150"/>
      <c r="C22" s="150"/>
      <c r="D22" s="150"/>
      <c r="E22" s="150"/>
      <c r="F22" s="150"/>
      <c r="G22" s="150"/>
      <c r="H22" s="150" t="s">
        <v>220</v>
      </c>
      <c r="I22" s="150" t="s">
        <v>221</v>
      </c>
      <c r="J22" s="150">
        <v>20012</v>
      </c>
      <c r="K22" s="150" t="str">
        <f t="shared" si="1"/>
        <v>法师</v>
      </c>
      <c r="L22" s="150"/>
    </row>
    <row r="23" spans="1:17">
      <c r="A23" s="5"/>
      <c r="B23" s="151" t="s">
        <v>94</v>
      </c>
      <c r="C23" s="149">
        <v>0</v>
      </c>
      <c r="D23" s="149">
        <v>1</v>
      </c>
      <c r="E23" s="151"/>
      <c r="F23" s="151" t="s">
        <v>222</v>
      </c>
      <c r="G23" s="151"/>
      <c r="H23" s="149" t="s">
        <v>188</v>
      </c>
      <c r="I23" s="149" t="s">
        <v>189</v>
      </c>
      <c r="J23" s="149">
        <v>0</v>
      </c>
      <c r="K23" s="149" t="str">
        <f t="shared" si="1"/>
        <v>无</v>
      </c>
      <c r="L23" s="149"/>
      <c r="Q23" s="155"/>
    </row>
    <row r="24" spans="1:17">
      <c r="A24" s="5"/>
      <c r="B24" s="151"/>
      <c r="C24" s="149"/>
      <c r="D24" s="149"/>
      <c r="E24" s="151"/>
      <c r="F24" s="151"/>
      <c r="G24" s="151"/>
      <c r="H24" s="149" t="s">
        <v>223</v>
      </c>
      <c r="I24" s="149" t="s">
        <v>224</v>
      </c>
      <c r="J24" s="149">
        <v>1</v>
      </c>
      <c r="K24" s="149" t="str">
        <f t="shared" si="1"/>
        <v>强酸</v>
      </c>
      <c r="L24" s="149"/>
      <c r="Q24" s="155"/>
    </row>
    <row r="25" spans="1:20">
      <c r="A25" s="5"/>
      <c r="B25" s="151"/>
      <c r="C25" s="149"/>
      <c r="D25" s="149"/>
      <c r="E25" s="151"/>
      <c r="F25" s="151"/>
      <c r="G25" s="151"/>
      <c r="H25" s="149" t="s">
        <v>225</v>
      </c>
      <c r="I25" s="149" t="s">
        <v>226</v>
      </c>
      <c r="J25" s="149">
        <v>2</v>
      </c>
      <c r="K25" s="149" t="str">
        <f t="shared" ref="K25:K60" si="2">I25</f>
        <v>冰冻</v>
      </c>
      <c r="L25" s="149"/>
      <c r="Q25" s="156"/>
      <c r="R25" s="157"/>
      <c r="S25" s="157"/>
      <c r="T25" s="157"/>
    </row>
    <row r="26" spans="1:20">
      <c r="A26" s="5"/>
      <c r="B26" s="151"/>
      <c r="C26" s="149"/>
      <c r="D26" s="149"/>
      <c r="E26" s="151"/>
      <c r="F26" s="151"/>
      <c r="G26" s="151"/>
      <c r="H26" s="149" t="s">
        <v>227</v>
      </c>
      <c r="I26" s="149" t="s">
        <v>228</v>
      </c>
      <c r="J26" s="149">
        <v>3</v>
      </c>
      <c r="K26" s="149" t="str">
        <f t="shared" si="2"/>
        <v>火焰</v>
      </c>
      <c r="L26" s="149"/>
      <c r="Q26" s="156"/>
      <c r="R26" s="157"/>
      <c r="S26" s="157"/>
      <c r="T26" s="157"/>
    </row>
    <row r="27" spans="1:20">
      <c r="A27" s="5"/>
      <c r="B27" s="151"/>
      <c r="C27" s="149"/>
      <c r="D27" s="149"/>
      <c r="E27" s="151"/>
      <c r="F27" s="151"/>
      <c r="G27" s="151"/>
      <c r="H27" s="149" t="s">
        <v>229</v>
      </c>
      <c r="I27" s="149" t="s">
        <v>230</v>
      </c>
      <c r="J27" s="149">
        <v>4</v>
      </c>
      <c r="K27" s="149" t="str">
        <f t="shared" si="2"/>
        <v>闪电</v>
      </c>
      <c r="L27" s="149"/>
      <c r="Q27" s="156"/>
      <c r="R27" s="157"/>
      <c r="S27" s="157"/>
      <c r="T27" s="157"/>
    </row>
    <row r="28" spans="1:20">
      <c r="A28" s="5"/>
      <c r="B28" s="151"/>
      <c r="C28" s="149"/>
      <c r="D28" s="149"/>
      <c r="E28" s="151"/>
      <c r="F28" s="151"/>
      <c r="G28" s="151"/>
      <c r="H28" s="149" t="s">
        <v>231</v>
      </c>
      <c r="I28" s="149" t="s">
        <v>232</v>
      </c>
      <c r="J28" s="149">
        <v>5</v>
      </c>
      <c r="K28" s="149" t="str">
        <f t="shared" si="2"/>
        <v>毒素</v>
      </c>
      <c r="L28" s="149"/>
      <c r="Q28" s="156"/>
      <c r="R28" s="157"/>
      <c r="S28" s="157"/>
      <c r="T28" s="157"/>
    </row>
    <row r="29" spans="1:20">
      <c r="A29" s="5"/>
      <c r="B29" s="151"/>
      <c r="C29" s="149"/>
      <c r="D29" s="149"/>
      <c r="E29" s="151"/>
      <c r="F29" s="151"/>
      <c r="G29" s="151"/>
      <c r="H29" s="149" t="s">
        <v>233</v>
      </c>
      <c r="I29" s="149" t="s">
        <v>234</v>
      </c>
      <c r="J29" s="149">
        <v>6</v>
      </c>
      <c r="K29" s="149" t="str">
        <f t="shared" si="2"/>
        <v>钝击</v>
      </c>
      <c r="L29" s="149"/>
      <c r="Q29" s="156"/>
      <c r="R29" s="157"/>
      <c r="S29" s="157"/>
      <c r="T29" s="157"/>
    </row>
    <row r="30" spans="2:20">
      <c r="B30" s="151"/>
      <c r="C30" s="149"/>
      <c r="D30" s="149"/>
      <c r="E30" s="151"/>
      <c r="F30" s="151"/>
      <c r="G30" s="151"/>
      <c r="H30" s="149" t="s">
        <v>235</v>
      </c>
      <c r="I30" s="149" t="s">
        <v>236</v>
      </c>
      <c r="J30" s="149">
        <v>7</v>
      </c>
      <c r="K30" s="149" t="str">
        <f t="shared" si="2"/>
        <v>穿刺</v>
      </c>
      <c r="L30" s="149"/>
      <c r="Q30" s="156"/>
      <c r="R30" s="157"/>
      <c r="S30" s="157"/>
      <c r="T30" s="157"/>
    </row>
    <row r="31" spans="2:20">
      <c r="B31" s="151"/>
      <c r="C31" s="149"/>
      <c r="D31" s="149"/>
      <c r="E31" s="151"/>
      <c r="F31" s="151"/>
      <c r="G31" s="151"/>
      <c r="H31" s="149" t="s">
        <v>237</v>
      </c>
      <c r="I31" s="149" t="s">
        <v>238</v>
      </c>
      <c r="J31" s="149">
        <v>8</v>
      </c>
      <c r="K31" s="149" t="str">
        <f t="shared" si="2"/>
        <v>挥砍</v>
      </c>
      <c r="L31" s="149"/>
      <c r="Q31" s="157"/>
      <c r="R31" s="157"/>
      <c r="S31" s="157"/>
      <c r="T31" s="157"/>
    </row>
    <row r="32" s="145" customFormat="1" spans="1:12">
      <c r="A32" s="152"/>
      <c r="B32" s="153" t="s">
        <v>239</v>
      </c>
      <c r="C32" s="154">
        <v>0</v>
      </c>
      <c r="D32" s="154">
        <v>1</v>
      </c>
      <c r="E32" s="153"/>
      <c r="F32" s="153" t="s">
        <v>240</v>
      </c>
      <c r="G32" s="153"/>
      <c r="H32" s="154" t="s">
        <v>241</v>
      </c>
      <c r="I32" s="154" t="s">
        <v>242</v>
      </c>
      <c r="J32" s="154">
        <v>1</v>
      </c>
      <c r="K32" s="154" t="str">
        <f t="shared" si="2"/>
        <v>单手</v>
      </c>
      <c r="L32" s="154"/>
    </row>
    <row r="33" s="145" customFormat="1" spans="1:12">
      <c r="A33" s="152"/>
      <c r="B33" s="153"/>
      <c r="C33" s="154"/>
      <c r="D33" s="154"/>
      <c r="E33" s="153"/>
      <c r="F33" s="153"/>
      <c r="G33" s="153"/>
      <c r="H33" s="154" t="s">
        <v>243</v>
      </c>
      <c r="I33" s="154" t="s">
        <v>244</v>
      </c>
      <c r="J33" s="154">
        <v>2</v>
      </c>
      <c r="K33" s="154" t="str">
        <f t="shared" si="2"/>
        <v>双手</v>
      </c>
      <c r="L33" s="154"/>
    </row>
    <row r="34" spans="2:12">
      <c r="B34" s="158" t="s">
        <v>151</v>
      </c>
      <c r="C34" s="159">
        <v>1</v>
      </c>
      <c r="D34" s="159">
        <v>1</v>
      </c>
      <c r="E34" s="158"/>
      <c r="F34" s="158" t="s">
        <v>245</v>
      </c>
      <c r="G34" s="158"/>
      <c r="H34" s="159" t="s">
        <v>188</v>
      </c>
      <c r="I34" s="159" t="s">
        <v>189</v>
      </c>
      <c r="J34" s="159">
        <v>0</v>
      </c>
      <c r="K34" s="159" t="str">
        <f t="shared" si="2"/>
        <v>无</v>
      </c>
      <c r="L34" s="159"/>
    </row>
    <row r="35" spans="2:12">
      <c r="B35" s="158"/>
      <c r="C35" s="159"/>
      <c r="D35" s="159"/>
      <c r="E35" s="158"/>
      <c r="F35" s="158"/>
      <c r="G35" s="158"/>
      <c r="H35" s="159" t="s">
        <v>246</v>
      </c>
      <c r="I35" s="159" t="s">
        <v>247</v>
      </c>
      <c r="J35" s="159">
        <v>1</v>
      </c>
      <c r="K35" s="159" t="str">
        <f t="shared" si="2"/>
        <v>无甲</v>
      </c>
      <c r="L35" s="159"/>
    </row>
    <row r="36" spans="2:18">
      <c r="B36" s="158"/>
      <c r="C36" s="159"/>
      <c r="D36" s="159"/>
      <c r="E36" s="158"/>
      <c r="F36" s="158"/>
      <c r="G36" s="158"/>
      <c r="H36" s="159" t="s">
        <v>248</v>
      </c>
      <c r="I36" s="159" t="s">
        <v>249</v>
      </c>
      <c r="J36" s="159">
        <v>2</v>
      </c>
      <c r="K36" s="159" t="str">
        <f t="shared" si="2"/>
        <v>轻甲</v>
      </c>
      <c r="L36" s="159"/>
      <c r="R36" s="10"/>
    </row>
    <row r="37" spans="2:12">
      <c r="B37" s="158"/>
      <c r="C37" s="159"/>
      <c r="D37" s="159"/>
      <c r="E37" s="158"/>
      <c r="F37" s="158"/>
      <c r="G37" s="158"/>
      <c r="H37" s="159" t="s">
        <v>250</v>
      </c>
      <c r="I37" s="159" t="s">
        <v>251</v>
      </c>
      <c r="J37" s="159">
        <v>4</v>
      </c>
      <c r="K37" s="159" t="str">
        <f t="shared" si="2"/>
        <v>中甲</v>
      </c>
      <c r="L37" s="159"/>
    </row>
    <row r="38" spans="2:12">
      <c r="B38" s="158"/>
      <c r="C38" s="159"/>
      <c r="D38" s="159"/>
      <c r="E38" s="158"/>
      <c r="F38" s="158"/>
      <c r="G38" s="158"/>
      <c r="H38" s="159" t="s">
        <v>252</v>
      </c>
      <c r="I38" s="159" t="s">
        <v>253</v>
      </c>
      <c r="J38" s="159">
        <v>8</v>
      </c>
      <c r="K38" s="159" t="str">
        <f t="shared" si="2"/>
        <v>重甲</v>
      </c>
      <c r="L38" s="159"/>
    </row>
    <row r="39" spans="2:12">
      <c r="B39" s="158"/>
      <c r="C39" s="159"/>
      <c r="D39" s="159"/>
      <c r="E39" s="158"/>
      <c r="F39" s="158"/>
      <c r="G39" s="158"/>
      <c r="H39" s="159" t="s">
        <v>254</v>
      </c>
      <c r="I39" s="159" t="s">
        <v>255</v>
      </c>
      <c r="J39" s="159">
        <v>16</v>
      </c>
      <c r="K39" s="159" t="str">
        <f t="shared" si="2"/>
        <v>盾牌</v>
      </c>
      <c r="L39" s="159"/>
    </row>
    <row r="40" spans="2:12">
      <c r="B40" s="158"/>
      <c r="C40" s="159"/>
      <c r="D40" s="159"/>
      <c r="E40" s="158"/>
      <c r="F40" s="158"/>
      <c r="G40" s="158"/>
      <c r="H40" s="159" t="s">
        <v>256</v>
      </c>
      <c r="I40" s="159" t="s">
        <v>257</v>
      </c>
      <c r="J40" s="159">
        <v>32</v>
      </c>
      <c r="K40" s="159" t="str">
        <f t="shared" si="2"/>
        <v>短棒</v>
      </c>
      <c r="L40" s="159"/>
    </row>
    <row r="41" spans="2:12">
      <c r="B41" s="158"/>
      <c r="C41" s="159"/>
      <c r="D41" s="159"/>
      <c r="E41" s="158"/>
      <c r="F41" s="158"/>
      <c r="G41" s="158"/>
      <c r="H41" s="159" t="s">
        <v>258</v>
      </c>
      <c r="I41" s="159" t="s">
        <v>259</v>
      </c>
      <c r="J41" s="159">
        <v>64</v>
      </c>
      <c r="K41" s="159" t="str">
        <f t="shared" si="2"/>
        <v>匕首</v>
      </c>
      <c r="L41" s="159"/>
    </row>
    <row r="42" spans="2:12">
      <c r="B42" s="158"/>
      <c r="C42" s="159"/>
      <c r="D42" s="159"/>
      <c r="E42" s="158"/>
      <c r="F42" s="158"/>
      <c r="G42" s="158"/>
      <c r="H42" s="159" t="s">
        <v>260</v>
      </c>
      <c r="I42" s="159" t="s">
        <v>261</v>
      </c>
      <c r="J42" s="159">
        <v>128</v>
      </c>
      <c r="K42" s="159" t="str">
        <f t="shared" si="2"/>
        <v>巨棒</v>
      </c>
      <c r="L42" s="159"/>
    </row>
    <row r="43" spans="2:12">
      <c r="B43" s="158"/>
      <c r="C43" s="159"/>
      <c r="D43" s="159"/>
      <c r="E43" s="158"/>
      <c r="F43" s="158"/>
      <c r="G43" s="158"/>
      <c r="H43" s="159" t="s">
        <v>262</v>
      </c>
      <c r="I43" s="159" t="s">
        <v>263</v>
      </c>
      <c r="J43" s="159">
        <v>256</v>
      </c>
      <c r="K43" s="159" t="str">
        <f t="shared" si="2"/>
        <v>手斧</v>
      </c>
      <c r="L43" s="159"/>
    </row>
    <row r="44" spans="2:12">
      <c r="B44" s="158"/>
      <c r="C44" s="159"/>
      <c r="D44" s="159"/>
      <c r="E44" s="158"/>
      <c r="F44" s="158"/>
      <c r="G44" s="158"/>
      <c r="H44" s="159" t="s">
        <v>264</v>
      </c>
      <c r="I44" s="159" t="s">
        <v>265</v>
      </c>
      <c r="J44" s="159">
        <v>512</v>
      </c>
      <c r="K44" s="159" t="str">
        <f t="shared" si="2"/>
        <v>标枪</v>
      </c>
      <c r="L44" s="159"/>
    </row>
    <row r="45" spans="2:15">
      <c r="B45" s="158"/>
      <c r="C45" s="159"/>
      <c r="D45" s="159"/>
      <c r="E45" s="158"/>
      <c r="F45" s="158"/>
      <c r="G45" s="158"/>
      <c r="H45" s="159" t="s">
        <v>266</v>
      </c>
      <c r="I45" s="159" t="s">
        <v>267</v>
      </c>
      <c r="J45" s="159">
        <v>1024</v>
      </c>
      <c r="K45" s="159" t="str">
        <f t="shared" si="2"/>
        <v>长棍</v>
      </c>
      <c r="L45" s="159"/>
      <c r="O45" s="160"/>
    </row>
    <row r="46" spans="2:12">
      <c r="B46" s="158"/>
      <c r="C46" s="159"/>
      <c r="D46" s="159"/>
      <c r="E46" s="158"/>
      <c r="F46" s="158"/>
      <c r="G46" s="158"/>
      <c r="H46" s="159" t="s">
        <v>268</v>
      </c>
      <c r="I46" s="159" t="s">
        <v>269</v>
      </c>
      <c r="J46" s="159">
        <v>2048</v>
      </c>
      <c r="K46" s="159" t="str">
        <f t="shared" si="2"/>
        <v>镰刀</v>
      </c>
      <c r="L46" s="159"/>
    </row>
    <row r="47" spans="2:12">
      <c r="B47" s="158"/>
      <c r="C47" s="159"/>
      <c r="D47" s="159"/>
      <c r="E47" s="158"/>
      <c r="F47" s="158"/>
      <c r="G47" s="158"/>
      <c r="H47" s="159" t="s">
        <v>270</v>
      </c>
      <c r="I47" s="159" t="s">
        <v>271</v>
      </c>
      <c r="J47" s="159">
        <v>4096</v>
      </c>
      <c r="K47" s="159" t="str">
        <f t="shared" si="2"/>
        <v>矛</v>
      </c>
      <c r="L47" s="159"/>
    </row>
    <row r="48" spans="2:12">
      <c r="B48" s="158"/>
      <c r="C48" s="159"/>
      <c r="D48" s="159"/>
      <c r="E48" s="158"/>
      <c r="F48" s="158"/>
      <c r="G48" s="158"/>
      <c r="H48" s="159" t="s">
        <v>272</v>
      </c>
      <c r="I48" s="159" t="s">
        <v>273</v>
      </c>
      <c r="J48" s="159">
        <v>8192</v>
      </c>
      <c r="K48" s="159" t="str">
        <f t="shared" si="2"/>
        <v>轻弩</v>
      </c>
      <c r="L48" s="159"/>
    </row>
    <row r="49" spans="2:12">
      <c r="B49" s="158"/>
      <c r="C49" s="159"/>
      <c r="D49" s="159"/>
      <c r="E49" s="158"/>
      <c r="F49" s="158"/>
      <c r="G49" s="158"/>
      <c r="H49" s="159" t="s">
        <v>274</v>
      </c>
      <c r="I49" s="159" t="s">
        <v>275</v>
      </c>
      <c r="J49" s="159">
        <v>16384</v>
      </c>
      <c r="K49" s="159" t="str">
        <f t="shared" si="2"/>
        <v>飞镖</v>
      </c>
      <c r="L49" s="159"/>
    </row>
    <row r="50" spans="2:12">
      <c r="B50" s="158"/>
      <c r="C50" s="159"/>
      <c r="D50" s="159"/>
      <c r="E50" s="158"/>
      <c r="F50" s="158"/>
      <c r="G50" s="158"/>
      <c r="H50" s="159" t="s">
        <v>276</v>
      </c>
      <c r="I50" s="159" t="s">
        <v>277</v>
      </c>
      <c r="J50" s="159">
        <v>32768</v>
      </c>
      <c r="K50" s="159" t="str">
        <f t="shared" si="2"/>
        <v>短弓</v>
      </c>
      <c r="L50" s="159"/>
    </row>
    <row r="51" spans="2:12">
      <c r="B51" s="158"/>
      <c r="C51" s="159"/>
      <c r="D51" s="159"/>
      <c r="E51" s="158"/>
      <c r="F51" s="158"/>
      <c r="G51" s="158"/>
      <c r="H51" s="159" t="s">
        <v>278</v>
      </c>
      <c r="I51" s="159" t="s">
        <v>279</v>
      </c>
      <c r="J51" s="159">
        <v>65536</v>
      </c>
      <c r="K51" s="159" t="str">
        <f t="shared" si="2"/>
        <v>战斧</v>
      </c>
      <c r="L51" s="159"/>
    </row>
    <row r="52" spans="2:12">
      <c r="B52" s="158"/>
      <c r="C52" s="159"/>
      <c r="D52" s="159"/>
      <c r="E52" s="158"/>
      <c r="F52" s="158"/>
      <c r="G52" s="158"/>
      <c r="H52" s="159" t="s">
        <v>280</v>
      </c>
      <c r="I52" s="159" t="s">
        <v>281</v>
      </c>
      <c r="J52" s="159">
        <v>131072</v>
      </c>
      <c r="K52" s="159" t="str">
        <f t="shared" si="2"/>
        <v>链枷</v>
      </c>
      <c r="L52" s="159"/>
    </row>
    <row r="53" spans="2:12">
      <c r="B53" s="158"/>
      <c r="C53" s="159"/>
      <c r="D53" s="159"/>
      <c r="E53" s="158"/>
      <c r="F53" s="158"/>
      <c r="G53" s="158"/>
      <c r="H53" s="159" t="s">
        <v>282</v>
      </c>
      <c r="I53" s="159" t="s">
        <v>283</v>
      </c>
      <c r="J53" s="159">
        <v>262144</v>
      </c>
      <c r="K53" s="159" t="str">
        <f t="shared" si="2"/>
        <v>巨斧</v>
      </c>
      <c r="L53" s="159"/>
    </row>
    <row r="54" spans="2:12">
      <c r="B54" s="158"/>
      <c r="C54" s="159"/>
      <c r="D54" s="159"/>
      <c r="E54" s="158"/>
      <c r="F54" s="158"/>
      <c r="G54" s="158"/>
      <c r="H54" s="159" t="s">
        <v>284</v>
      </c>
      <c r="I54" s="159" t="s">
        <v>285</v>
      </c>
      <c r="J54" s="159">
        <v>524288</v>
      </c>
      <c r="K54" s="159" t="str">
        <f t="shared" si="2"/>
        <v>巨剑</v>
      </c>
      <c r="L54" s="159"/>
    </row>
    <row r="55" spans="2:12">
      <c r="B55" s="158"/>
      <c r="C55" s="159"/>
      <c r="D55" s="159"/>
      <c r="E55" s="158"/>
      <c r="F55" s="158"/>
      <c r="G55" s="158"/>
      <c r="H55" s="159" t="s">
        <v>286</v>
      </c>
      <c r="I55" s="159" t="s">
        <v>287</v>
      </c>
      <c r="J55" s="159">
        <v>1048576</v>
      </c>
      <c r="K55" s="159" t="str">
        <f t="shared" si="2"/>
        <v>长剑</v>
      </c>
      <c r="L55" s="159"/>
    </row>
    <row r="56" spans="2:12">
      <c r="B56" s="158"/>
      <c r="C56" s="159"/>
      <c r="D56" s="159"/>
      <c r="E56" s="158"/>
      <c r="F56" s="158"/>
      <c r="G56" s="158"/>
      <c r="H56" s="159" t="s">
        <v>288</v>
      </c>
      <c r="I56" s="159" t="s">
        <v>289</v>
      </c>
      <c r="J56" s="159">
        <v>2097152</v>
      </c>
      <c r="K56" s="159" t="str">
        <f t="shared" si="2"/>
        <v>巨锤</v>
      </c>
      <c r="L56" s="159"/>
    </row>
    <row r="57" spans="2:12">
      <c r="B57" s="158"/>
      <c r="C57" s="159"/>
      <c r="D57" s="159"/>
      <c r="E57" s="158"/>
      <c r="F57" s="158"/>
      <c r="G57" s="158"/>
      <c r="H57" s="159" t="s">
        <v>290</v>
      </c>
      <c r="I57" s="159" t="s">
        <v>291</v>
      </c>
      <c r="J57" s="159">
        <v>4194304</v>
      </c>
      <c r="K57" s="159" t="str">
        <f t="shared" si="2"/>
        <v>长矛</v>
      </c>
      <c r="L57" s="159"/>
    </row>
    <row r="58" spans="2:12">
      <c r="B58" s="158"/>
      <c r="C58" s="159"/>
      <c r="D58" s="159"/>
      <c r="E58" s="158"/>
      <c r="F58" s="158"/>
      <c r="G58" s="158"/>
      <c r="H58" s="159" t="s">
        <v>292</v>
      </c>
      <c r="I58" s="159" t="s">
        <v>293</v>
      </c>
      <c r="J58" s="159">
        <v>8388608</v>
      </c>
      <c r="K58" s="159" t="str">
        <f t="shared" si="2"/>
        <v>刺剑</v>
      </c>
      <c r="L58" s="159"/>
    </row>
    <row r="59" spans="2:12">
      <c r="B59" s="158"/>
      <c r="C59" s="159"/>
      <c r="D59" s="159"/>
      <c r="E59" s="158"/>
      <c r="F59" s="158"/>
      <c r="G59" s="158"/>
      <c r="H59" s="159" t="s">
        <v>294</v>
      </c>
      <c r="I59" s="159" t="s">
        <v>295</v>
      </c>
      <c r="J59" s="159">
        <v>16777216</v>
      </c>
      <c r="K59" s="159" t="str">
        <f t="shared" si="2"/>
        <v>弯刀</v>
      </c>
      <c r="L59" s="159"/>
    </row>
    <row r="60" spans="2:12">
      <c r="B60" s="158"/>
      <c r="C60" s="159"/>
      <c r="D60" s="159"/>
      <c r="E60" s="158"/>
      <c r="F60" s="158"/>
      <c r="G60" s="158"/>
      <c r="H60" s="159" t="s">
        <v>296</v>
      </c>
      <c r="I60" s="159" t="s">
        <v>297</v>
      </c>
      <c r="J60" s="159">
        <v>33554432</v>
      </c>
      <c r="K60" s="159" t="str">
        <f t="shared" si="2"/>
        <v>短剑</v>
      </c>
      <c r="L60" s="159"/>
    </row>
    <row r="61" spans="2:12">
      <c r="B61" s="158"/>
      <c r="C61" s="159"/>
      <c r="D61" s="159"/>
      <c r="E61" s="158"/>
      <c r="F61" s="158"/>
      <c r="G61" s="158"/>
      <c r="H61" s="159" t="s">
        <v>298</v>
      </c>
      <c r="I61" s="159" t="s">
        <v>299</v>
      </c>
      <c r="J61" s="159">
        <v>67108864</v>
      </c>
      <c r="K61" s="159" t="str">
        <f t="shared" ref="K61:K99" si="3">I61</f>
        <v>战锤</v>
      </c>
      <c r="L61" s="159"/>
    </row>
    <row r="62" spans="2:12">
      <c r="B62" s="158"/>
      <c r="C62" s="159"/>
      <c r="D62" s="159"/>
      <c r="E62" s="158"/>
      <c r="F62" s="158"/>
      <c r="G62" s="158"/>
      <c r="H62" s="159" t="s">
        <v>300</v>
      </c>
      <c r="I62" s="159" t="s">
        <v>301</v>
      </c>
      <c r="J62" s="159">
        <v>134217728</v>
      </c>
      <c r="K62" s="159" t="str">
        <f t="shared" si="3"/>
        <v>手弩</v>
      </c>
      <c r="L62" s="159"/>
    </row>
    <row r="63" spans="2:12">
      <c r="B63" s="158"/>
      <c r="C63" s="159"/>
      <c r="D63" s="159"/>
      <c r="E63" s="158"/>
      <c r="F63" s="158"/>
      <c r="G63" s="158"/>
      <c r="H63" s="159" t="s">
        <v>302</v>
      </c>
      <c r="I63" s="159" t="s">
        <v>303</v>
      </c>
      <c r="J63" s="159">
        <v>268435456</v>
      </c>
      <c r="K63" s="159" t="str">
        <f t="shared" si="3"/>
        <v>重弩</v>
      </c>
      <c r="L63" s="159"/>
    </row>
    <row r="64" ht="14.5" customHeight="1" spans="2:12">
      <c r="B64" s="158"/>
      <c r="C64" s="159"/>
      <c r="D64" s="159"/>
      <c r="E64" s="158"/>
      <c r="F64" s="158"/>
      <c r="G64" s="158"/>
      <c r="H64" s="159" t="s">
        <v>304</v>
      </c>
      <c r="I64" s="159" t="s">
        <v>305</v>
      </c>
      <c r="J64" s="159">
        <v>536870912</v>
      </c>
      <c r="K64" s="159" t="str">
        <f t="shared" si="3"/>
        <v>长弓</v>
      </c>
      <c r="L64" s="159"/>
    </row>
    <row r="65" ht="14.5" customHeight="1" spans="2:12">
      <c r="B65" s="158"/>
      <c r="C65" s="159"/>
      <c r="D65" s="159"/>
      <c r="E65" s="158"/>
      <c r="F65" s="158"/>
      <c r="G65" s="158"/>
      <c r="H65" s="159" t="s">
        <v>306</v>
      </c>
      <c r="I65" s="159" t="s">
        <v>307</v>
      </c>
      <c r="J65" s="159" t="s">
        <v>308</v>
      </c>
      <c r="K65" s="159" t="str">
        <f t="shared" si="3"/>
        <v>所有护甲</v>
      </c>
      <c r="L65" s="159"/>
    </row>
    <row r="66" ht="14.5" customHeight="1" spans="2:12">
      <c r="B66" s="159"/>
      <c r="C66" s="159"/>
      <c r="D66" s="159"/>
      <c r="E66" s="159"/>
      <c r="F66" s="159"/>
      <c r="G66" s="159"/>
      <c r="H66" s="161" t="s">
        <v>309</v>
      </c>
      <c r="I66" s="161" t="s">
        <v>310</v>
      </c>
      <c r="J66" s="162" t="s">
        <v>311</v>
      </c>
      <c r="K66" s="159" t="str">
        <f t="shared" si="3"/>
        <v>简易近战</v>
      </c>
      <c r="L66" s="159"/>
    </row>
    <row r="67" ht="14.5" customHeight="1" spans="2:12">
      <c r="B67" s="159"/>
      <c r="C67" s="159"/>
      <c r="D67" s="159"/>
      <c r="E67" s="159"/>
      <c r="F67" s="159"/>
      <c r="G67" s="159"/>
      <c r="H67" s="161" t="s">
        <v>312</v>
      </c>
      <c r="I67" s="161" t="s">
        <v>313</v>
      </c>
      <c r="J67" s="162" t="s">
        <v>314</v>
      </c>
      <c r="K67" s="159" t="str">
        <f t="shared" si="3"/>
        <v>简易远程</v>
      </c>
      <c r="L67" s="159"/>
    </row>
    <row r="68" customFormat="1" ht="14.5" customHeight="1" spans="1:12">
      <c r="A68" s="10"/>
      <c r="B68" s="159"/>
      <c r="C68" s="159"/>
      <c r="D68" s="159"/>
      <c r="E68" s="159"/>
      <c r="F68" s="159"/>
      <c r="G68" s="159"/>
      <c r="H68" s="159" t="s">
        <v>315</v>
      </c>
      <c r="I68" s="159" t="s">
        <v>316</v>
      </c>
      <c r="J68" s="162" t="s">
        <v>317</v>
      </c>
      <c r="K68" s="159" t="str">
        <f t="shared" si="3"/>
        <v>军用近战</v>
      </c>
      <c r="L68" s="159"/>
    </row>
    <row r="69" customFormat="1" ht="14.5" customHeight="1" spans="1:12">
      <c r="A69" s="10"/>
      <c r="B69" s="159"/>
      <c r="C69" s="159"/>
      <c r="D69" s="159"/>
      <c r="E69" s="159"/>
      <c r="F69" s="159"/>
      <c r="G69" s="159"/>
      <c r="H69" s="159" t="s">
        <v>318</v>
      </c>
      <c r="I69" s="159" t="s">
        <v>319</v>
      </c>
      <c r="J69" s="162" t="s">
        <v>320</v>
      </c>
      <c r="K69" s="159" t="str">
        <f t="shared" si="3"/>
        <v>军用远程</v>
      </c>
      <c r="L69" s="159"/>
    </row>
    <row r="70" ht="14.5" customHeight="1" spans="2:12">
      <c r="B70" s="159"/>
      <c r="C70" s="159"/>
      <c r="D70" s="159"/>
      <c r="E70" s="159"/>
      <c r="F70" s="159"/>
      <c r="G70" s="159"/>
      <c r="H70" s="159" t="s">
        <v>321</v>
      </c>
      <c r="I70" s="159" t="s">
        <v>322</v>
      </c>
      <c r="J70" s="159" t="s">
        <v>323</v>
      </c>
      <c r="K70" s="159" t="str">
        <f t="shared" si="3"/>
        <v>简易武器</v>
      </c>
      <c r="L70" s="159"/>
    </row>
    <row r="71" ht="14.5" customHeight="1" spans="2:12">
      <c r="B71" s="159"/>
      <c r="C71" s="159"/>
      <c r="D71" s="159"/>
      <c r="E71" s="159"/>
      <c r="F71" s="159"/>
      <c r="G71" s="159"/>
      <c r="H71" s="159" t="s">
        <v>324</v>
      </c>
      <c r="I71" s="159" t="s">
        <v>325</v>
      </c>
      <c r="J71" s="159" t="s">
        <v>326</v>
      </c>
      <c r="K71" s="159" t="str">
        <f t="shared" si="3"/>
        <v>军用武器</v>
      </c>
      <c r="L71" s="159"/>
    </row>
    <row r="72" spans="2:12">
      <c r="B72" s="153" t="s">
        <v>327</v>
      </c>
      <c r="C72" s="153">
        <v>0</v>
      </c>
      <c r="D72" s="153">
        <v>1</v>
      </c>
      <c r="E72" s="153"/>
      <c r="F72" s="153" t="s">
        <v>328</v>
      </c>
      <c r="G72" s="153"/>
      <c r="H72" s="153" t="s">
        <v>329</v>
      </c>
      <c r="I72" s="153" t="s">
        <v>330</v>
      </c>
      <c r="J72" s="153">
        <v>2</v>
      </c>
      <c r="K72" s="153" t="str">
        <f t="shared" si="3"/>
        <v>小型</v>
      </c>
      <c r="L72" s="153"/>
    </row>
    <row r="73" spans="2:12">
      <c r="B73" s="153"/>
      <c r="C73" s="153"/>
      <c r="D73" s="153"/>
      <c r="E73" s="153"/>
      <c r="F73" s="153"/>
      <c r="G73" s="153"/>
      <c r="H73" s="153" t="s">
        <v>331</v>
      </c>
      <c r="I73" s="153" t="s">
        <v>332</v>
      </c>
      <c r="J73" s="153">
        <v>4</v>
      </c>
      <c r="K73" s="153" t="str">
        <f t="shared" si="3"/>
        <v>中型</v>
      </c>
      <c r="L73" s="153"/>
    </row>
    <row r="74" spans="2:12">
      <c r="B74" s="153"/>
      <c r="C74" s="153"/>
      <c r="D74" s="153"/>
      <c r="E74" s="153"/>
      <c r="F74" s="153"/>
      <c r="G74" s="153"/>
      <c r="H74" s="153" t="s">
        <v>333</v>
      </c>
      <c r="I74" s="153" t="s">
        <v>334</v>
      </c>
      <c r="J74" s="153">
        <v>9</v>
      </c>
      <c r="K74" s="153" t="str">
        <f t="shared" si="3"/>
        <v>大型</v>
      </c>
      <c r="L74" s="153"/>
    </row>
    <row r="75" spans="2:12">
      <c r="B75" s="153"/>
      <c r="C75" s="153"/>
      <c r="D75" s="153"/>
      <c r="E75" s="153"/>
      <c r="F75" s="153"/>
      <c r="G75" s="153"/>
      <c r="H75" s="153" t="s">
        <v>335</v>
      </c>
      <c r="I75" s="153" t="s">
        <v>336</v>
      </c>
      <c r="J75" s="153">
        <v>36</v>
      </c>
      <c r="K75" s="153" t="str">
        <f t="shared" si="3"/>
        <v>巨型</v>
      </c>
      <c r="L75" s="153"/>
    </row>
    <row r="76" spans="2:12">
      <c r="B76" s="151" t="s">
        <v>337</v>
      </c>
      <c r="C76" s="158">
        <v>1</v>
      </c>
      <c r="D76" s="158">
        <v>1</v>
      </c>
      <c r="E76" s="158"/>
      <c r="F76" s="158" t="s">
        <v>338</v>
      </c>
      <c r="G76" s="158"/>
      <c r="H76" s="158" t="s">
        <v>339</v>
      </c>
      <c r="I76" s="158" t="s">
        <v>340</v>
      </c>
      <c r="J76" s="159">
        <v>1</v>
      </c>
      <c r="K76" s="158" t="str">
        <f t="shared" si="3"/>
        <v>异怪</v>
      </c>
      <c r="L76" s="158"/>
    </row>
    <row r="77" spans="2:12">
      <c r="B77" s="158"/>
      <c r="C77" s="158"/>
      <c r="D77" s="158"/>
      <c r="E77" s="158"/>
      <c r="F77" s="158"/>
      <c r="G77" s="158"/>
      <c r="H77" s="158" t="s">
        <v>341</v>
      </c>
      <c r="I77" s="158" t="s">
        <v>342</v>
      </c>
      <c r="J77" s="159">
        <v>2</v>
      </c>
      <c r="K77" s="158" t="str">
        <f t="shared" si="3"/>
        <v>野兽</v>
      </c>
      <c r="L77" s="158"/>
    </row>
    <row r="78" spans="2:12">
      <c r="B78" s="158"/>
      <c r="C78" s="158"/>
      <c r="D78" s="158"/>
      <c r="E78" s="158"/>
      <c r="F78" s="158"/>
      <c r="G78" s="158"/>
      <c r="H78" s="158" t="s">
        <v>343</v>
      </c>
      <c r="I78" s="158" t="s">
        <v>344</v>
      </c>
      <c r="J78" s="159">
        <v>4</v>
      </c>
      <c r="K78" s="158" t="str">
        <f t="shared" si="3"/>
        <v>天界生物</v>
      </c>
      <c r="L78" s="158"/>
    </row>
    <row r="79" spans="2:12">
      <c r="B79" s="158"/>
      <c r="C79" s="158"/>
      <c r="D79" s="158"/>
      <c r="E79" s="158"/>
      <c r="F79" s="158"/>
      <c r="G79" s="158"/>
      <c r="H79" s="158" t="s">
        <v>345</v>
      </c>
      <c r="I79" s="158" t="s">
        <v>346</v>
      </c>
      <c r="J79" s="159">
        <v>8</v>
      </c>
      <c r="K79" s="158" t="str">
        <f t="shared" si="3"/>
        <v>构造生物</v>
      </c>
      <c r="L79" s="158"/>
    </row>
    <row r="80" spans="2:12">
      <c r="B80" s="158"/>
      <c r="C80" s="158"/>
      <c r="D80" s="158"/>
      <c r="E80" s="158"/>
      <c r="F80" s="158"/>
      <c r="G80" s="158"/>
      <c r="H80" s="158" t="s">
        <v>347</v>
      </c>
      <c r="I80" s="158" t="s">
        <v>348</v>
      </c>
      <c r="J80" s="159">
        <v>16</v>
      </c>
      <c r="K80" s="158" t="str">
        <f t="shared" si="3"/>
        <v>龙类</v>
      </c>
      <c r="L80" s="158"/>
    </row>
    <row r="81" spans="2:12">
      <c r="B81" s="158"/>
      <c r="C81" s="158"/>
      <c r="D81" s="158"/>
      <c r="E81" s="158"/>
      <c r="F81" s="158"/>
      <c r="G81" s="158"/>
      <c r="H81" s="158" t="s">
        <v>349</v>
      </c>
      <c r="I81" s="158" t="s">
        <v>350</v>
      </c>
      <c r="J81" s="159">
        <v>32</v>
      </c>
      <c r="K81" s="158" t="str">
        <f t="shared" si="3"/>
        <v>元素生物</v>
      </c>
      <c r="L81" s="158"/>
    </row>
    <row r="82" spans="2:12">
      <c r="B82" s="158"/>
      <c r="C82" s="158"/>
      <c r="D82" s="158"/>
      <c r="E82" s="158"/>
      <c r="F82" s="158"/>
      <c r="G82" s="158"/>
      <c r="H82" s="158" t="s">
        <v>351</v>
      </c>
      <c r="I82" s="158" t="s">
        <v>352</v>
      </c>
      <c r="J82" s="159">
        <v>64</v>
      </c>
      <c r="K82" s="158" t="str">
        <f t="shared" si="3"/>
        <v>精类</v>
      </c>
      <c r="L82" s="158"/>
    </row>
    <row r="83" spans="2:12">
      <c r="B83" s="158"/>
      <c r="C83" s="158"/>
      <c r="D83" s="158"/>
      <c r="E83" s="158"/>
      <c r="F83" s="158"/>
      <c r="G83" s="158"/>
      <c r="H83" s="158" t="s">
        <v>353</v>
      </c>
      <c r="I83" s="158" t="s">
        <v>354</v>
      </c>
      <c r="J83" s="159">
        <v>128</v>
      </c>
      <c r="K83" s="158" t="str">
        <f t="shared" si="3"/>
        <v>邪魔</v>
      </c>
      <c r="L83" s="158"/>
    </row>
    <row r="84" spans="2:12">
      <c r="B84" s="158"/>
      <c r="C84" s="158"/>
      <c r="D84" s="158"/>
      <c r="E84" s="158"/>
      <c r="F84" s="158"/>
      <c r="G84" s="158"/>
      <c r="H84" s="151" t="s">
        <v>355</v>
      </c>
      <c r="I84" s="158" t="s">
        <v>356</v>
      </c>
      <c r="J84" s="159">
        <v>256</v>
      </c>
      <c r="K84" s="158" t="str">
        <f t="shared" si="3"/>
        <v>巨人</v>
      </c>
      <c r="L84" s="158"/>
    </row>
    <row r="85" spans="2:12">
      <c r="B85" s="158"/>
      <c r="C85" s="158"/>
      <c r="D85" s="158"/>
      <c r="E85" s="158"/>
      <c r="F85" s="158"/>
      <c r="G85" s="158"/>
      <c r="H85" s="158" t="s">
        <v>357</v>
      </c>
      <c r="I85" s="151" t="s">
        <v>358</v>
      </c>
      <c r="J85" s="159">
        <v>512</v>
      </c>
      <c r="K85" s="158" t="str">
        <f t="shared" si="3"/>
        <v>类人</v>
      </c>
      <c r="L85" s="158"/>
    </row>
    <row r="86" spans="2:12">
      <c r="B86" s="158"/>
      <c r="C86" s="158"/>
      <c r="D86" s="158"/>
      <c r="E86" s="158"/>
      <c r="F86" s="158"/>
      <c r="G86" s="158"/>
      <c r="H86" s="158" t="s">
        <v>359</v>
      </c>
      <c r="I86" s="158" t="s">
        <v>360</v>
      </c>
      <c r="J86" s="159">
        <v>1024</v>
      </c>
      <c r="K86" s="158" t="str">
        <f t="shared" si="3"/>
        <v>怪兽</v>
      </c>
      <c r="L86" s="158"/>
    </row>
    <row r="87" spans="2:12">
      <c r="B87" s="158"/>
      <c r="C87" s="158"/>
      <c r="D87" s="158"/>
      <c r="E87" s="158"/>
      <c r="F87" s="158"/>
      <c r="G87" s="158"/>
      <c r="H87" s="158" t="s">
        <v>361</v>
      </c>
      <c r="I87" s="158" t="s">
        <v>362</v>
      </c>
      <c r="J87" s="159">
        <v>2048</v>
      </c>
      <c r="K87" s="158" t="str">
        <f t="shared" si="3"/>
        <v>泥怪</v>
      </c>
      <c r="L87" s="158"/>
    </row>
    <row r="88" spans="2:12">
      <c r="B88" s="158"/>
      <c r="C88" s="158"/>
      <c r="D88" s="158"/>
      <c r="E88" s="158"/>
      <c r="F88" s="158"/>
      <c r="G88" s="158"/>
      <c r="H88" s="158" t="s">
        <v>363</v>
      </c>
      <c r="I88" s="158" t="s">
        <v>364</v>
      </c>
      <c r="J88" s="159">
        <v>4096</v>
      </c>
      <c r="K88" s="158" t="str">
        <f t="shared" si="3"/>
        <v>植物</v>
      </c>
      <c r="L88" s="158"/>
    </row>
    <row r="89" ht="15.5" customHeight="1" spans="2:12">
      <c r="B89" s="158"/>
      <c r="C89" s="158"/>
      <c r="D89" s="158"/>
      <c r="E89" s="158"/>
      <c r="F89" s="158"/>
      <c r="G89" s="158"/>
      <c r="H89" s="158" t="s">
        <v>365</v>
      </c>
      <c r="I89" s="158" t="s">
        <v>366</v>
      </c>
      <c r="J89" s="158">
        <v>8192</v>
      </c>
      <c r="K89" s="158" t="str">
        <f t="shared" si="3"/>
        <v>不死生物</v>
      </c>
      <c r="L89" s="158"/>
    </row>
    <row r="90" spans="2:12">
      <c r="B90" s="150" t="s">
        <v>367</v>
      </c>
      <c r="C90" s="104">
        <v>0</v>
      </c>
      <c r="D90" s="104">
        <v>1</v>
      </c>
      <c r="E90" s="150"/>
      <c r="F90" s="150" t="s">
        <v>368</v>
      </c>
      <c r="G90" s="150"/>
      <c r="H90" s="104" t="s">
        <v>369</v>
      </c>
      <c r="I90" s="104" t="s">
        <v>370</v>
      </c>
      <c r="J90" s="104">
        <v>1</v>
      </c>
      <c r="K90" s="104" t="str">
        <f t="shared" ref="K90:K109" si="4">I90</f>
        <v>人类</v>
      </c>
      <c r="L90" s="163"/>
    </row>
    <row r="91" spans="2:12">
      <c r="B91" s="150"/>
      <c r="C91" s="104"/>
      <c r="D91" s="104"/>
      <c r="E91" s="150"/>
      <c r="F91" s="150"/>
      <c r="G91" s="150"/>
      <c r="H91" s="104" t="s">
        <v>371</v>
      </c>
      <c r="I91" s="104" t="s">
        <v>372</v>
      </c>
      <c r="J91" s="104">
        <v>2</v>
      </c>
      <c r="K91" s="104" t="str">
        <f t="shared" si="4"/>
        <v>矮人</v>
      </c>
      <c r="L91" s="163"/>
    </row>
    <row r="92" spans="2:12">
      <c r="B92" s="150"/>
      <c r="C92" s="104"/>
      <c r="D92" s="104"/>
      <c r="E92" s="150"/>
      <c r="F92" s="150"/>
      <c r="G92" s="150"/>
      <c r="H92" s="104" t="s">
        <v>373</v>
      </c>
      <c r="I92" s="104" t="s">
        <v>374</v>
      </c>
      <c r="J92" s="104">
        <v>3</v>
      </c>
      <c r="K92" s="104" t="str">
        <f t="shared" si="4"/>
        <v>精灵</v>
      </c>
      <c r="L92" s="163"/>
    </row>
    <row r="93" spans="2:12">
      <c r="B93" s="150"/>
      <c r="C93" s="104"/>
      <c r="D93" s="104"/>
      <c r="E93" s="150"/>
      <c r="F93" s="150"/>
      <c r="G93" s="150"/>
      <c r="H93" s="104" t="s">
        <v>375</v>
      </c>
      <c r="I93" s="104" t="s">
        <v>376</v>
      </c>
      <c r="J93" s="104">
        <v>4</v>
      </c>
      <c r="K93" s="104" t="str">
        <f t="shared" si="4"/>
        <v>半身人</v>
      </c>
      <c r="L93" s="163"/>
    </row>
    <row r="94" spans="2:12">
      <c r="B94" s="150"/>
      <c r="C94" s="104"/>
      <c r="D94" s="104"/>
      <c r="E94" s="150"/>
      <c r="F94" s="150"/>
      <c r="G94" s="150"/>
      <c r="H94" s="104" t="s">
        <v>377</v>
      </c>
      <c r="I94" s="104" t="s">
        <v>378</v>
      </c>
      <c r="J94" s="104">
        <v>5</v>
      </c>
      <c r="K94" s="104" t="str">
        <f t="shared" si="4"/>
        <v>侏儒</v>
      </c>
      <c r="L94" s="163"/>
    </row>
    <row r="95" spans="2:12">
      <c r="B95" s="150"/>
      <c r="C95" s="104"/>
      <c r="D95" s="104"/>
      <c r="E95" s="150"/>
      <c r="F95" s="150"/>
      <c r="G95" s="150"/>
      <c r="H95" s="104" t="s">
        <v>379</v>
      </c>
      <c r="I95" s="104" t="s">
        <v>380</v>
      </c>
      <c r="J95" s="104">
        <v>6</v>
      </c>
      <c r="K95" s="104" t="str">
        <f t="shared" si="4"/>
        <v>半精灵</v>
      </c>
      <c r="L95" s="163"/>
    </row>
    <row r="96" spans="2:12">
      <c r="B96" s="150"/>
      <c r="C96" s="104"/>
      <c r="D96" s="104"/>
      <c r="E96" s="150"/>
      <c r="F96" s="150"/>
      <c r="G96" s="150"/>
      <c r="H96" s="104" t="s">
        <v>381</v>
      </c>
      <c r="I96" s="104" t="s">
        <v>382</v>
      </c>
      <c r="J96" s="104">
        <v>7</v>
      </c>
      <c r="K96" s="104" t="str">
        <f t="shared" si="4"/>
        <v>龙裔</v>
      </c>
      <c r="L96" s="163"/>
    </row>
    <row r="97" spans="2:12">
      <c r="B97" s="150"/>
      <c r="C97" s="104"/>
      <c r="D97" s="104"/>
      <c r="E97" s="150"/>
      <c r="F97" s="150"/>
      <c r="G97" s="150"/>
      <c r="H97" s="104" t="s">
        <v>383</v>
      </c>
      <c r="I97" s="104" t="s">
        <v>384</v>
      </c>
      <c r="J97" s="104">
        <v>8</v>
      </c>
      <c r="K97" s="104" t="str">
        <f t="shared" si="4"/>
        <v>半兽人</v>
      </c>
      <c r="L97" s="163"/>
    </row>
    <row r="98" spans="2:12">
      <c r="B98" s="150"/>
      <c r="C98" s="104"/>
      <c r="D98" s="104"/>
      <c r="E98" s="150"/>
      <c r="F98" s="150"/>
      <c r="G98" s="150"/>
      <c r="H98" s="104" t="s">
        <v>385</v>
      </c>
      <c r="I98" s="104" t="s">
        <v>386</v>
      </c>
      <c r="J98" s="104">
        <v>9</v>
      </c>
      <c r="K98" s="104" t="str">
        <f t="shared" si="4"/>
        <v>提夫林</v>
      </c>
      <c r="L98" s="163"/>
    </row>
    <row r="99" spans="2:12">
      <c r="B99" s="150"/>
      <c r="C99" s="150"/>
      <c r="D99" s="150"/>
      <c r="E99" s="150"/>
      <c r="F99" s="150"/>
      <c r="G99" s="150"/>
      <c r="H99" s="150" t="s">
        <v>387</v>
      </c>
      <c r="I99" s="150" t="s">
        <v>388</v>
      </c>
      <c r="J99" s="150">
        <v>10</v>
      </c>
      <c r="K99" s="150" t="str">
        <f t="shared" si="4"/>
        <v>地精</v>
      </c>
      <c r="L99" s="150"/>
    </row>
  </sheetData>
  <sheetProtection formatCells="0" formatColumns="0" formatRows="0" insertRows="0" insertColumns="0" insertHyperlinks="0" deleteColumns="0" deleteRows="0" sort="0" autoFilter="0" pivotTables="0"/>
  <mergeCells count="1">
    <mergeCell ref="H1:L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" sqref="A1:C22"/>
    </sheetView>
  </sheetViews>
  <sheetFormatPr defaultColWidth="9" defaultRowHeight="14.25" outlineLevelCol="4"/>
  <cols>
    <col min="3" max="3" width="23.4416666666667" customWidth="1"/>
    <col min="4" max="4" width="11.8916666666667" customWidth="1"/>
    <col min="5" max="5" width="12.775" customWidth="1"/>
  </cols>
  <sheetData>
    <row r="1" spans="1:5">
      <c r="A1" s="130" t="s">
        <v>0</v>
      </c>
      <c r="B1" s="139" t="s">
        <v>389</v>
      </c>
      <c r="C1" s="130" t="s">
        <v>31</v>
      </c>
      <c r="D1" s="130" t="s">
        <v>390</v>
      </c>
      <c r="E1" s="130" t="s">
        <v>391</v>
      </c>
    </row>
    <row r="2" spans="1:5">
      <c r="A2" s="132" t="s">
        <v>392</v>
      </c>
      <c r="B2" s="140"/>
      <c r="C2" s="132" t="s">
        <v>393</v>
      </c>
      <c r="D2" s="132" t="s">
        <v>393</v>
      </c>
      <c r="E2" s="132" t="s">
        <v>393</v>
      </c>
    </row>
    <row r="3" spans="1:5">
      <c r="A3" s="134" t="s">
        <v>12</v>
      </c>
      <c r="B3" s="141"/>
      <c r="C3" s="134" t="s">
        <v>394</v>
      </c>
      <c r="D3" s="134" t="s">
        <v>395</v>
      </c>
      <c r="E3" s="134" t="s">
        <v>396</v>
      </c>
    </row>
    <row r="4" spans="1:5">
      <c r="A4" s="134"/>
      <c r="B4" s="141">
        <v>1</v>
      </c>
      <c r="C4" s="142" t="s">
        <v>397</v>
      </c>
      <c r="D4" s="143" t="s">
        <v>398</v>
      </c>
      <c r="E4" s="142" t="s">
        <v>399</v>
      </c>
    </row>
    <row r="5" spans="1:5">
      <c r="A5" s="144"/>
      <c r="B5" s="141">
        <v>2</v>
      </c>
      <c r="C5" s="142" t="s">
        <v>400</v>
      </c>
      <c r="D5" s="143" t="s">
        <v>401</v>
      </c>
      <c r="E5" s="142" t="s">
        <v>402</v>
      </c>
    </row>
    <row r="6" spans="1:5">
      <c r="A6" s="144"/>
      <c r="B6" s="141">
        <v>3</v>
      </c>
      <c r="C6" s="142" t="s">
        <v>403</v>
      </c>
      <c r="D6" s="143" t="s">
        <v>404</v>
      </c>
      <c r="E6" s="142" t="s">
        <v>405</v>
      </c>
    </row>
    <row r="7" spans="1:5">
      <c r="A7" s="144"/>
      <c r="B7" s="141">
        <v>4</v>
      </c>
      <c r="C7" s="142" t="s">
        <v>406</v>
      </c>
      <c r="D7" s="143" t="s">
        <v>407</v>
      </c>
      <c r="E7" s="142" t="s">
        <v>408</v>
      </c>
    </row>
    <row r="8" spans="1:5">
      <c r="A8" s="144"/>
      <c r="B8" s="141">
        <v>5</v>
      </c>
      <c r="C8" s="142" t="s">
        <v>409</v>
      </c>
      <c r="D8" s="143" t="s">
        <v>410</v>
      </c>
      <c r="E8" s="142" t="s">
        <v>411</v>
      </c>
    </row>
    <row r="9" spans="1:5">
      <c r="A9" s="144"/>
      <c r="B9" s="141">
        <v>6</v>
      </c>
      <c r="C9" s="142" t="s">
        <v>412</v>
      </c>
      <c r="D9" s="143" t="s">
        <v>413</v>
      </c>
      <c r="E9" s="142" t="s">
        <v>414</v>
      </c>
    </row>
    <row r="10" spans="1:5">
      <c r="A10" s="144"/>
      <c r="B10" s="141">
        <v>7</v>
      </c>
      <c r="C10" s="142" t="s">
        <v>415</v>
      </c>
      <c r="D10" s="143" t="s">
        <v>416</v>
      </c>
      <c r="E10" s="142" t="s">
        <v>417</v>
      </c>
    </row>
    <row r="11" spans="1:5">
      <c r="A11" s="144"/>
      <c r="B11" s="141">
        <v>8</v>
      </c>
      <c r="C11" s="142" t="s">
        <v>418</v>
      </c>
      <c r="D11" s="143" t="s">
        <v>419</v>
      </c>
      <c r="E11" s="142" t="s">
        <v>420</v>
      </c>
    </row>
    <row r="12" spans="1:5">
      <c r="A12" s="144"/>
      <c r="B12" s="141">
        <v>9</v>
      </c>
      <c r="C12" s="142" t="s">
        <v>421</v>
      </c>
      <c r="D12" s="143" t="s">
        <v>422</v>
      </c>
      <c r="E12" s="142" t="s">
        <v>423</v>
      </c>
    </row>
    <row r="13" spans="1:5">
      <c r="A13" s="144"/>
      <c r="B13" s="141">
        <v>10</v>
      </c>
      <c r="C13" s="142" t="s">
        <v>424</v>
      </c>
      <c r="D13" s="143" t="s">
        <v>425</v>
      </c>
      <c r="E13" s="142" t="s">
        <v>426</v>
      </c>
    </row>
    <row r="14" spans="1:5">
      <c r="A14" s="144"/>
      <c r="B14" s="141">
        <v>11</v>
      </c>
      <c r="C14" s="142" t="s">
        <v>427</v>
      </c>
      <c r="D14" s="143" t="s">
        <v>428</v>
      </c>
      <c r="E14" s="142" t="s">
        <v>429</v>
      </c>
    </row>
    <row r="15" spans="1:5">
      <c r="A15" s="144"/>
      <c r="B15" s="141">
        <v>12</v>
      </c>
      <c r="C15" s="142" t="s">
        <v>430</v>
      </c>
      <c r="D15" s="143" t="s">
        <v>431</v>
      </c>
      <c r="E15" s="142" t="s">
        <v>432</v>
      </c>
    </row>
    <row r="16" spans="1:5">
      <c r="A16" s="144"/>
      <c r="B16" s="141">
        <v>13</v>
      </c>
      <c r="C16" s="142" t="s">
        <v>433</v>
      </c>
      <c r="D16" s="143" t="s">
        <v>434</v>
      </c>
      <c r="E16" s="142" t="s">
        <v>435</v>
      </c>
    </row>
    <row r="17" spans="1:5">
      <c r="A17" s="144"/>
      <c r="B17" s="141">
        <v>14</v>
      </c>
      <c r="C17" s="142" t="s">
        <v>436</v>
      </c>
      <c r="D17" s="143" t="s">
        <v>437</v>
      </c>
      <c r="E17" s="142" t="s">
        <v>438</v>
      </c>
    </row>
    <row r="18" spans="1:5">
      <c r="A18" s="144"/>
      <c r="B18" s="141">
        <v>15</v>
      </c>
      <c r="C18" s="142" t="s">
        <v>439</v>
      </c>
      <c r="D18" s="143" t="s">
        <v>395</v>
      </c>
      <c r="E18" s="142" t="s">
        <v>395</v>
      </c>
    </row>
    <row r="19" spans="1:5">
      <c r="A19" s="144"/>
      <c r="B19" s="141">
        <v>16</v>
      </c>
      <c r="C19" s="142" t="s">
        <v>440</v>
      </c>
      <c r="D19" s="143" t="s">
        <v>441</v>
      </c>
      <c r="E19" s="142" t="s">
        <v>441</v>
      </c>
    </row>
    <row r="20" spans="1:5">
      <c r="A20" s="144"/>
      <c r="B20" s="141">
        <v>17</v>
      </c>
      <c r="C20" s="142" t="s">
        <v>442</v>
      </c>
      <c r="D20" s="143" t="s">
        <v>443</v>
      </c>
      <c r="E20" s="142" t="s">
        <v>444</v>
      </c>
    </row>
    <row r="21" spans="1:5">
      <c r="A21" s="144"/>
      <c r="B21" s="141">
        <v>18</v>
      </c>
      <c r="C21" s="142" t="s">
        <v>445</v>
      </c>
      <c r="D21" s="143" t="s">
        <v>446</v>
      </c>
      <c r="E21" s="142" t="s">
        <v>447</v>
      </c>
    </row>
    <row r="22" spans="1:5">
      <c r="A22" s="144"/>
      <c r="B22" s="141">
        <v>19</v>
      </c>
      <c r="C22" s="142" t="s">
        <v>448</v>
      </c>
      <c r="D22" s="143" t="s">
        <v>449</v>
      </c>
      <c r="E22" s="142" t="s">
        <v>450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B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D10" sqref="D10"/>
    </sheetView>
  </sheetViews>
  <sheetFormatPr defaultColWidth="9" defaultRowHeight="14.25" outlineLevelRow="3" outlineLevelCol="4"/>
  <cols>
    <col min="3" max="3" width="22.6666666666667" customWidth="1"/>
    <col min="4" max="4" width="22.3333333333333" customWidth="1"/>
    <col min="5" max="5" width="30.225" customWidth="1"/>
  </cols>
  <sheetData>
    <row r="1" spans="1:5">
      <c r="A1" s="130" t="s">
        <v>0</v>
      </c>
      <c r="B1" s="131" t="s">
        <v>389</v>
      </c>
      <c r="C1" s="130" t="s">
        <v>31</v>
      </c>
      <c r="D1" s="130" t="s">
        <v>390</v>
      </c>
      <c r="E1" s="130" t="s">
        <v>391</v>
      </c>
    </row>
    <row r="2" spans="1:5">
      <c r="A2" s="132" t="s">
        <v>392</v>
      </c>
      <c r="B2" s="133"/>
      <c r="C2" s="132" t="s">
        <v>393</v>
      </c>
      <c r="D2" s="132" t="s">
        <v>393</v>
      </c>
      <c r="E2" s="132" t="s">
        <v>393</v>
      </c>
    </row>
    <row r="3" spans="1:5">
      <c r="A3" s="134" t="s">
        <v>12</v>
      </c>
      <c r="B3" s="135"/>
      <c r="C3" s="134" t="s">
        <v>394</v>
      </c>
      <c r="D3" s="134" t="s">
        <v>395</v>
      </c>
      <c r="E3" s="134" t="s">
        <v>396</v>
      </c>
    </row>
    <row r="4" spans="2:5">
      <c r="B4" s="130">
        <v>1</v>
      </c>
      <c r="C4" s="136" t="s">
        <v>451</v>
      </c>
      <c r="D4" s="137" t="s">
        <v>398</v>
      </c>
      <c r="E4" s="138" t="s">
        <v>399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B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8"/>
  <sheetViews>
    <sheetView workbookViewId="0">
      <selection activeCell="A1" sqref="A1:D13"/>
    </sheetView>
  </sheetViews>
  <sheetFormatPr defaultColWidth="9" defaultRowHeight="14.25"/>
  <cols>
    <col min="1" max="1" width="16.1083333333333" style="114" customWidth="1"/>
    <col min="2" max="2" width="13" style="115" customWidth="1"/>
    <col min="3" max="3" width="22.6666666666667" style="116" customWidth="1"/>
    <col min="4" max="4" width="42.225" style="117" customWidth="1"/>
    <col min="5" max="6" width="25.6666666666667" customWidth="1"/>
    <col min="7" max="7" width="12.4416666666667" customWidth="1"/>
    <col min="8" max="8" width="11.8916666666667" customWidth="1"/>
    <col min="9" max="11" width="14.775" customWidth="1"/>
    <col min="12" max="12" width="11.3333333333333" customWidth="1"/>
    <col min="13" max="13" width="19.3333333333333" customWidth="1"/>
    <col min="14" max="14" width="34.6666666666667" customWidth="1"/>
    <col min="15" max="15" width="29.225" customWidth="1"/>
    <col min="16" max="16" width="35.4416666666667" customWidth="1"/>
    <col min="17" max="17" width="37" customWidth="1"/>
  </cols>
  <sheetData>
    <row r="1" s="112" customFormat="1" spans="1:38">
      <c r="A1" s="114" t="s">
        <v>452</v>
      </c>
      <c r="B1" s="115" t="s">
        <v>392</v>
      </c>
      <c r="C1" s="116" t="s">
        <v>12</v>
      </c>
      <c r="D1" s="117"/>
      <c r="E1" s="120"/>
      <c r="F1" s="120"/>
      <c r="G1" s="120"/>
      <c r="H1"/>
      <c r="I1"/>
      <c r="J1"/>
      <c r="K1" s="121"/>
      <c r="L1" s="122"/>
      <c r="M1" s="122"/>
      <c r="N1" s="122"/>
      <c r="O1" s="122"/>
      <c r="P1" s="122"/>
      <c r="Q1" s="122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 s="128"/>
    </row>
    <row r="2" s="113" customFormat="1" ht="14" customHeight="1" spans="1:38">
      <c r="A2" s="114"/>
      <c r="B2" s="115"/>
      <c r="C2" s="118" t="s">
        <v>453</v>
      </c>
      <c r="D2" s="117" t="s">
        <v>454</v>
      </c>
      <c r="E2"/>
      <c r="F2" s="2"/>
      <c r="G2" s="10"/>
      <c r="H2"/>
      <c r="I2"/>
      <c r="J2"/>
      <c r="K2" s="123"/>
      <c r="L2" s="124"/>
      <c r="M2" s="124"/>
      <c r="N2" s="124"/>
      <c r="O2" s="124"/>
      <c r="P2" s="124"/>
      <c r="Q2" s="124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 s="129"/>
    </row>
    <row r="3" customFormat="1" spans="1:38">
      <c r="A3" s="114" t="s">
        <v>455</v>
      </c>
      <c r="B3" s="115" t="s">
        <v>393</v>
      </c>
      <c r="C3" s="116" t="s">
        <v>456</v>
      </c>
      <c r="D3" s="117" t="s">
        <v>457</v>
      </c>
      <c r="G3" s="10"/>
      <c r="K3" s="5"/>
      <c r="L3" s="5"/>
      <c r="M3" s="5"/>
      <c r="N3" s="5"/>
      <c r="O3" s="126"/>
      <c r="P3" s="5"/>
      <c r="Q3" s="5"/>
      <c r="AL3" s="5"/>
    </row>
    <row r="4" spans="1:38">
      <c r="A4" s="114" t="s">
        <v>458</v>
      </c>
      <c r="B4" s="115" t="s">
        <v>393</v>
      </c>
      <c r="C4" s="116" t="s">
        <v>459</v>
      </c>
      <c r="D4" s="117" t="s">
        <v>460</v>
      </c>
      <c r="E4" s="10"/>
      <c r="K4" s="5"/>
      <c r="L4" s="5"/>
      <c r="M4" s="5"/>
      <c r="N4" s="5"/>
      <c r="O4" s="126"/>
      <c r="P4" s="5"/>
      <c r="Q4" s="5"/>
      <c r="AL4" s="5"/>
    </row>
    <row r="5" customFormat="1" spans="1:38">
      <c r="A5" s="114" t="s">
        <v>461</v>
      </c>
      <c r="B5" s="115" t="s">
        <v>393</v>
      </c>
      <c r="C5" s="116" t="s">
        <v>462</v>
      </c>
      <c r="D5" s="117" t="s">
        <v>457</v>
      </c>
      <c r="E5" s="10"/>
      <c r="K5" s="5"/>
      <c r="L5" s="5"/>
      <c r="M5" s="5"/>
      <c r="N5" s="5"/>
      <c r="O5" s="126"/>
      <c r="P5" s="5"/>
      <c r="Q5" s="5"/>
      <c r="AL5" s="5"/>
    </row>
    <row r="6" spans="1:38">
      <c r="A6" s="114" t="s">
        <v>463</v>
      </c>
      <c r="B6" s="115" t="s">
        <v>393</v>
      </c>
      <c r="C6" s="116" t="s">
        <v>464</v>
      </c>
      <c r="D6" s="117" t="s">
        <v>460</v>
      </c>
      <c r="E6" s="10"/>
      <c r="K6" s="5"/>
      <c r="L6" s="5"/>
      <c r="M6" s="5"/>
      <c r="N6" s="5"/>
      <c r="O6" s="126"/>
      <c r="P6" s="5"/>
      <c r="Q6" s="5"/>
      <c r="AL6" s="5"/>
    </row>
    <row r="7" spans="1:38">
      <c r="A7" s="114" t="s">
        <v>465</v>
      </c>
      <c r="B7" s="115" t="s">
        <v>393</v>
      </c>
      <c r="C7" s="116" t="s">
        <v>466</v>
      </c>
      <c r="D7" s="117" t="s">
        <v>467</v>
      </c>
      <c r="E7" s="10"/>
      <c r="K7" s="5"/>
      <c r="L7" s="5"/>
      <c r="M7" s="5"/>
      <c r="N7" s="5"/>
      <c r="O7" s="126"/>
      <c r="P7" s="5"/>
      <c r="Q7" s="5"/>
      <c r="AL7" s="5"/>
    </row>
    <row r="8" spans="1:38">
      <c r="A8" s="114" t="s">
        <v>468</v>
      </c>
      <c r="B8" s="115" t="s">
        <v>393</v>
      </c>
      <c r="C8" s="116" t="s">
        <v>469</v>
      </c>
      <c r="D8" s="117" t="s">
        <v>457</v>
      </c>
      <c r="E8" s="10"/>
      <c r="K8" s="5"/>
      <c r="L8" s="5"/>
      <c r="M8" s="5"/>
      <c r="N8" s="5"/>
      <c r="O8" s="126"/>
      <c r="P8" s="5"/>
      <c r="Q8" s="5"/>
      <c r="AL8" s="5"/>
    </row>
    <row r="9" spans="1:38">
      <c r="A9" s="114" t="s">
        <v>470</v>
      </c>
      <c r="B9" s="115" t="s">
        <v>393</v>
      </c>
      <c r="C9" s="116" t="s">
        <v>471</v>
      </c>
      <c r="D9" s="117" t="s">
        <v>467</v>
      </c>
      <c r="E9" s="10"/>
      <c r="K9" s="5"/>
      <c r="L9" s="5"/>
      <c r="M9" s="5"/>
      <c r="N9" s="5"/>
      <c r="O9" s="126"/>
      <c r="P9" s="5"/>
      <c r="Q9" s="5"/>
      <c r="AL9" s="5"/>
    </row>
    <row r="10" spans="1:17">
      <c r="A10" s="114" t="s">
        <v>472</v>
      </c>
      <c r="B10" s="119" t="s">
        <v>393</v>
      </c>
      <c r="C10" s="116" t="s">
        <v>473</v>
      </c>
      <c r="D10" s="117" t="s">
        <v>474</v>
      </c>
      <c r="E10" s="10"/>
      <c r="F10" s="10"/>
      <c r="G10" s="10"/>
      <c r="K10" s="5"/>
      <c r="L10" s="5"/>
      <c r="M10" s="5"/>
      <c r="N10" s="5"/>
      <c r="O10" s="126"/>
      <c r="P10" s="5"/>
      <c r="Q10" s="5"/>
    </row>
    <row r="11" spans="1:17">
      <c r="A11" s="114" t="s">
        <v>475</v>
      </c>
      <c r="B11" s="119" t="s">
        <v>393</v>
      </c>
      <c r="C11" s="116" t="s">
        <v>476</v>
      </c>
      <c r="D11" s="117" t="s">
        <v>477</v>
      </c>
      <c r="E11" s="10"/>
      <c r="F11" s="10"/>
      <c r="G11" s="10"/>
      <c r="K11" s="5"/>
      <c r="L11" s="5"/>
      <c r="M11" s="126"/>
      <c r="N11" s="5"/>
      <c r="O11" s="126"/>
      <c r="P11" s="5"/>
      <c r="Q11" s="126"/>
    </row>
    <row r="12" spans="1:17">
      <c r="A12" s="114" t="s">
        <v>478</v>
      </c>
      <c r="B12" s="119" t="s">
        <v>393</v>
      </c>
      <c r="C12" s="116" t="s">
        <v>479</v>
      </c>
      <c r="D12" s="117" t="s">
        <v>480</v>
      </c>
      <c r="E12" s="120"/>
      <c r="F12" s="120"/>
      <c r="G12" s="120"/>
      <c r="K12" s="10"/>
      <c r="M12" s="36"/>
      <c r="O12" s="36"/>
      <c r="Q12" s="36"/>
    </row>
    <row r="13" spans="1:17">
      <c r="A13" s="114" t="s">
        <v>481</v>
      </c>
      <c r="B13" s="119" t="s">
        <v>393</v>
      </c>
      <c r="C13" s="116" t="s">
        <v>482</v>
      </c>
      <c r="D13" s="117" t="s">
        <v>483</v>
      </c>
      <c r="E13" s="120"/>
      <c r="F13" s="120"/>
      <c r="G13" s="120"/>
      <c r="K13" s="10"/>
      <c r="M13" s="36"/>
      <c r="O13" s="36"/>
      <c r="Q13" s="36"/>
    </row>
    <row r="14" spans="2:17">
      <c r="B14" s="119"/>
      <c r="E14" s="10"/>
      <c r="G14" s="2"/>
      <c r="H14" s="10"/>
      <c r="I14" s="10"/>
      <c r="J14" s="10"/>
      <c r="K14" s="10"/>
      <c r="L14" s="10"/>
      <c r="M14" s="36"/>
      <c r="O14" s="36"/>
      <c r="Q14" s="36"/>
    </row>
    <row r="15" spans="2:17">
      <c r="B15" s="119"/>
      <c r="E15" s="10"/>
      <c r="K15" s="10"/>
      <c r="M15" s="36"/>
      <c r="O15" s="36"/>
      <c r="Q15" s="36"/>
    </row>
    <row r="16" spans="2:17">
      <c r="B16" s="119"/>
      <c r="F16" s="10"/>
      <c r="K16" s="125"/>
      <c r="M16" s="36"/>
      <c r="O16" s="36"/>
      <c r="Q16" s="36"/>
    </row>
    <row r="17" spans="2:17">
      <c r="B17" s="119"/>
      <c r="F17" s="10"/>
      <c r="K17" s="125"/>
      <c r="M17" s="36"/>
      <c r="O17" s="36"/>
      <c r="Q17" s="36"/>
    </row>
    <row r="18" ht="17" customHeight="1" spans="2:17">
      <c r="B18" s="119"/>
      <c r="F18" s="10"/>
      <c r="K18" s="125"/>
      <c r="M18" s="36"/>
      <c r="O18" s="36"/>
      <c r="Q18" s="36"/>
    </row>
    <row r="19" spans="2:17">
      <c r="B19" s="119"/>
      <c r="F19" s="10"/>
      <c r="K19" s="125"/>
      <c r="M19" s="36"/>
      <c r="O19" s="36"/>
      <c r="Q19" s="36"/>
    </row>
    <row r="20" ht="21" customHeight="1" spans="2:17">
      <c r="B20" s="119"/>
      <c r="F20" s="10"/>
      <c r="K20" s="125"/>
      <c r="M20" s="36"/>
      <c r="O20" s="36"/>
      <c r="Q20" s="36"/>
    </row>
    <row r="21" spans="2:17">
      <c r="B21" s="119"/>
      <c r="E21" s="10"/>
      <c r="F21" s="10"/>
      <c r="I21" s="10"/>
      <c r="J21" s="10"/>
      <c r="K21" s="125"/>
      <c r="M21" s="36"/>
      <c r="O21" s="36"/>
      <c r="Q21" s="36"/>
    </row>
    <row r="22" spans="2:17">
      <c r="B22" s="119"/>
      <c r="E22" s="10"/>
      <c r="F22" s="10"/>
      <c r="I22" s="10"/>
      <c r="J22" s="10"/>
      <c r="K22" s="125"/>
      <c r="M22" s="36"/>
      <c r="O22" s="36"/>
      <c r="Q22" s="36"/>
    </row>
    <row r="23" spans="2:17">
      <c r="B23" s="119"/>
      <c r="E23" s="10"/>
      <c r="F23" s="10"/>
      <c r="I23" s="10"/>
      <c r="J23" s="10"/>
      <c r="K23" s="125"/>
      <c r="M23" s="36"/>
      <c r="O23" s="36"/>
      <c r="Q23" s="36"/>
    </row>
    <row r="24" spans="2:17">
      <c r="B24" s="119"/>
      <c r="E24" s="10"/>
      <c r="F24" s="10"/>
      <c r="I24" s="10"/>
      <c r="J24" s="10"/>
      <c r="K24" s="125"/>
      <c r="M24" s="36"/>
      <c r="O24" s="36"/>
      <c r="Q24" s="36"/>
    </row>
    <row r="25" spans="2:17">
      <c r="B25" s="119"/>
      <c r="E25" s="10"/>
      <c r="F25" s="10"/>
      <c r="I25" s="10"/>
      <c r="J25" s="10"/>
      <c r="K25" s="125"/>
      <c r="M25" s="36"/>
      <c r="O25" s="36"/>
      <c r="Q25" s="36"/>
    </row>
    <row r="26" spans="13:17">
      <c r="M26" s="36"/>
      <c r="O26" s="36"/>
      <c r="Q26" s="36"/>
    </row>
    <row r="27" spans="13:17">
      <c r="M27" s="36"/>
      <c r="O27" s="36"/>
      <c r="Q27" s="36"/>
    </row>
    <row r="28" spans="14:14">
      <c r="N28" s="127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C10" sqref="C10"/>
    </sheetView>
  </sheetViews>
  <sheetFormatPr defaultColWidth="9" defaultRowHeight="14.25" outlineLevelCol="3"/>
  <cols>
    <col min="1" max="1" width="30.9083333333333" customWidth="1"/>
    <col min="2" max="2" width="24.75" customWidth="1"/>
    <col min="3" max="3" width="23" customWidth="1"/>
    <col min="4" max="4" width="7.54166666666667" style="6" customWidth="1"/>
  </cols>
  <sheetData>
    <row r="1" spans="1:4">
      <c r="A1" s="5" t="s">
        <v>452</v>
      </c>
      <c r="B1" s="5" t="s">
        <v>392</v>
      </c>
      <c r="C1" s="5" t="s">
        <v>12</v>
      </c>
      <c r="D1" s="111"/>
    </row>
    <row r="2" spans="1:4">
      <c r="A2" s="5"/>
      <c r="B2" s="5"/>
      <c r="C2" s="5" t="s">
        <v>453</v>
      </c>
      <c r="D2" s="111"/>
    </row>
    <row r="3" spans="1:4">
      <c r="A3" s="5" t="s">
        <v>484</v>
      </c>
      <c r="B3" s="5" t="s">
        <v>85</v>
      </c>
      <c r="C3" s="5" t="s">
        <v>485</v>
      </c>
      <c r="D3" s="111">
        <v>25</v>
      </c>
    </row>
    <row r="4" spans="1:4">
      <c r="A4" s="5" t="s">
        <v>486</v>
      </c>
      <c r="B4" s="5" t="s">
        <v>85</v>
      </c>
      <c r="C4" s="5" t="s">
        <v>487</v>
      </c>
      <c r="D4" s="111">
        <v>3</v>
      </c>
    </row>
    <row r="5" spans="1:4">
      <c r="A5" s="5" t="s">
        <v>488</v>
      </c>
      <c r="B5" s="5" t="s">
        <v>85</v>
      </c>
      <c r="C5" s="5" t="s">
        <v>489</v>
      </c>
      <c r="D5" s="111">
        <v>3</v>
      </c>
    </row>
    <row r="6" spans="1:4">
      <c r="A6" s="20" t="s">
        <v>490</v>
      </c>
      <c r="B6" s="20" t="s">
        <v>491</v>
      </c>
      <c r="C6" s="20" t="s">
        <v>492</v>
      </c>
      <c r="D6" s="6">
        <v>50001</v>
      </c>
    </row>
    <row r="7" spans="1:4">
      <c r="A7" s="5"/>
      <c r="B7" s="5"/>
      <c r="C7" s="5"/>
      <c r="D7" s="111"/>
    </row>
    <row r="8" spans="1:4">
      <c r="A8" s="5"/>
      <c r="B8" s="5"/>
      <c r="C8" s="5"/>
      <c r="D8" s="111"/>
    </row>
    <row r="9" spans="1:4">
      <c r="A9" s="5"/>
      <c r="B9" s="5"/>
      <c r="C9" s="5"/>
      <c r="D9" s="111"/>
    </row>
    <row r="10" spans="1:4">
      <c r="A10" s="5"/>
      <c r="B10" s="5"/>
      <c r="C10" s="5"/>
      <c r="D10" s="111"/>
    </row>
    <row r="11" spans="2:2">
      <c r="B11" s="5"/>
    </row>
    <row r="12" spans="2:2">
      <c r="B12" s="5"/>
    </row>
    <row r="13" spans="2:2">
      <c r="B13" s="5"/>
    </row>
    <row r="14" spans="2:2">
      <c r="B14" s="5"/>
    </row>
    <row r="15" spans="2:2">
      <c r="B15" s="5"/>
    </row>
    <row r="16" spans="2:2">
      <c r="B16" s="5"/>
    </row>
    <row r="17" spans="2:2">
      <c r="B17" s="5"/>
    </row>
    <row r="18" spans="2:2">
      <c r="B18" s="5"/>
    </row>
    <row r="19" spans="2:2">
      <c r="B19" s="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C4" sqref="C4:C15"/>
    </sheetView>
  </sheetViews>
  <sheetFormatPr defaultColWidth="9" defaultRowHeight="14.25" outlineLevelCol="2"/>
  <cols>
    <col min="2" max="2" width="19.3666666666667" customWidth="1"/>
  </cols>
  <sheetData>
    <row r="1" s="6" customFormat="1" spans="1:3">
      <c r="A1" s="28" t="s">
        <v>0</v>
      </c>
      <c r="B1" s="28" t="s">
        <v>172</v>
      </c>
      <c r="C1" s="28" t="s">
        <v>72</v>
      </c>
    </row>
    <row r="2" s="6" customFormat="1" spans="1:3">
      <c r="A2" s="28" t="s">
        <v>392</v>
      </c>
      <c r="B2" s="28" t="s">
        <v>196</v>
      </c>
      <c r="C2" s="28" t="s">
        <v>393</v>
      </c>
    </row>
    <row r="3" s="6" customFormat="1" spans="1:3">
      <c r="A3" s="28" t="s">
        <v>12</v>
      </c>
      <c r="B3" s="28" t="s">
        <v>493</v>
      </c>
      <c r="C3" s="28" t="s">
        <v>494</v>
      </c>
    </row>
    <row r="4" s="6" customFormat="1" spans="2:3">
      <c r="B4" s="5" t="s">
        <v>198</v>
      </c>
      <c r="C4" s="5" t="s">
        <v>199</v>
      </c>
    </row>
    <row r="5" s="6" customFormat="1" spans="2:3">
      <c r="B5" s="5" t="s">
        <v>200</v>
      </c>
      <c r="C5" s="5" t="s">
        <v>201</v>
      </c>
    </row>
    <row r="6" s="6" customFormat="1" spans="2:3">
      <c r="B6" s="5" t="s">
        <v>202</v>
      </c>
      <c r="C6" s="5" t="s">
        <v>203</v>
      </c>
    </row>
    <row r="7" s="6" customFormat="1" spans="2:3">
      <c r="B7" s="5" t="s">
        <v>204</v>
      </c>
      <c r="C7" s="5" t="s">
        <v>205</v>
      </c>
    </row>
    <row r="8" s="6" customFormat="1" spans="2:3">
      <c r="B8" s="5" t="s">
        <v>206</v>
      </c>
      <c r="C8" s="5" t="s">
        <v>207</v>
      </c>
    </row>
    <row r="9" s="6" customFormat="1" spans="2:3">
      <c r="B9" s="5" t="s">
        <v>208</v>
      </c>
      <c r="C9" s="5" t="s">
        <v>209</v>
      </c>
    </row>
    <row r="10" s="6" customFormat="1" spans="2:3">
      <c r="B10" s="5" t="s">
        <v>210</v>
      </c>
      <c r="C10" s="5" t="s">
        <v>211</v>
      </c>
    </row>
    <row r="11" s="6" customFormat="1" spans="2:3">
      <c r="B11" s="5" t="s">
        <v>212</v>
      </c>
      <c r="C11" s="5" t="s">
        <v>213</v>
      </c>
    </row>
    <row r="12" s="6" customFormat="1" spans="2:3">
      <c r="B12" s="5" t="s">
        <v>214</v>
      </c>
      <c r="C12" s="5" t="s">
        <v>215</v>
      </c>
    </row>
    <row r="13" s="6" customFormat="1" spans="2:3">
      <c r="B13" s="5" t="s">
        <v>216</v>
      </c>
      <c r="C13" s="5" t="s">
        <v>217</v>
      </c>
    </row>
    <row r="14" s="6" customFormat="1" spans="2:3">
      <c r="B14" s="5" t="s">
        <v>218</v>
      </c>
      <c r="C14" s="5" t="s">
        <v>219</v>
      </c>
    </row>
    <row r="15" s="6" customFormat="1" spans="2:3">
      <c r="B15" s="5" t="s">
        <v>220</v>
      </c>
      <c r="C15" s="5" t="s">
        <v>221</v>
      </c>
    </row>
    <row r="16" s="6" customFormat="1"/>
    <row r="17" s="6" customFormat="1"/>
    <row r="18" s="6" customFormat="1"/>
    <row r="19" s="6" customFormat="1"/>
    <row r="20" s="6" customFormat="1"/>
    <row r="21" s="6" customFormat="1"/>
    <row r="22" s="6" customFormat="1"/>
    <row r="23" s="6" customFormat="1"/>
    <row r="24" s="6" customFormat="1"/>
    <row r="25" s="6" customForma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9"/>
  <sheetViews>
    <sheetView topLeftCell="D1" workbookViewId="0">
      <pane ySplit="5" topLeftCell="A6" activePane="bottomLeft" state="frozen"/>
      <selection/>
      <selection pane="bottomLeft" activeCell="A1" sqref="$A1:$XFD4"/>
    </sheetView>
  </sheetViews>
  <sheetFormatPr defaultColWidth="9" defaultRowHeight="14.25"/>
  <cols>
    <col min="1" max="1" width="8.725" style="6"/>
    <col min="2" max="2" width="7.08333333333333" style="6" customWidth="1"/>
    <col min="3" max="3" width="10.1833333333333" style="6" customWidth="1"/>
    <col min="4" max="4" width="8.79166666666667" style="6" customWidth="1" outlineLevel="1"/>
    <col min="5" max="5" width="8.54166666666667" style="6" customWidth="1" outlineLevel="1"/>
    <col min="6" max="6" width="9.45833333333333" style="6" customWidth="1" outlineLevel="1"/>
    <col min="7" max="7" width="28.8333333333333" style="6" customWidth="1" outlineLevel="1"/>
    <col min="8" max="8" width="5.125" style="2" customWidth="1"/>
    <col min="9" max="13" width="5.125" style="58" customWidth="1"/>
    <col min="14" max="14" width="9.75" style="103" customWidth="1"/>
    <col min="15" max="15" width="12.125" style="6" customWidth="1"/>
    <col min="16" max="17" width="8.725" style="6"/>
    <col min="18" max="18" width="6.375" style="6" customWidth="1"/>
    <col min="19" max="19" width="7.54166666666667" style="6" customWidth="1"/>
    <col min="20" max="20" width="8.125" style="6" customWidth="1"/>
    <col min="21" max="21" width="8.25" style="6" customWidth="1"/>
  </cols>
  <sheetData>
    <row r="1" spans="1:21">
      <c r="A1" s="28" t="s">
        <v>0</v>
      </c>
      <c r="B1" s="28" t="s">
        <v>172</v>
      </c>
      <c r="C1" s="28" t="s">
        <v>72</v>
      </c>
      <c r="D1" s="37" t="s">
        <v>495</v>
      </c>
      <c r="E1" s="37" t="s">
        <v>496</v>
      </c>
      <c r="F1" s="37" t="s">
        <v>497</v>
      </c>
      <c r="G1" s="38" t="s">
        <v>498</v>
      </c>
      <c r="H1" s="37" t="s">
        <v>499</v>
      </c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 t="s">
        <v>500</v>
      </c>
      <c r="U1" s="37"/>
    </row>
    <row r="2" spans="1:21">
      <c r="A2" s="28" t="s">
        <v>392</v>
      </c>
      <c r="B2" s="38" t="s">
        <v>85</v>
      </c>
      <c r="C2" s="28" t="s">
        <v>393</v>
      </c>
      <c r="D2" s="37" t="s">
        <v>367</v>
      </c>
      <c r="E2" s="37" t="s">
        <v>337</v>
      </c>
      <c r="F2" s="37" t="s">
        <v>327</v>
      </c>
      <c r="G2" s="38" t="s">
        <v>151</v>
      </c>
      <c r="H2" s="37" t="s">
        <v>95</v>
      </c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</row>
    <row r="3" spans="1:21">
      <c r="A3" s="28" t="s">
        <v>392</v>
      </c>
      <c r="B3" s="28"/>
      <c r="C3" s="28"/>
      <c r="D3" s="86"/>
      <c r="E3" s="86"/>
      <c r="F3" s="86"/>
      <c r="G3" s="28"/>
      <c r="H3" s="37" t="s">
        <v>97</v>
      </c>
      <c r="I3" s="37"/>
      <c r="J3" s="37"/>
      <c r="K3" s="37"/>
      <c r="L3" s="37"/>
      <c r="M3" s="37"/>
      <c r="N3" s="38" t="s">
        <v>100</v>
      </c>
      <c r="O3" s="38" t="s">
        <v>103</v>
      </c>
      <c r="P3" s="38" t="s">
        <v>105</v>
      </c>
      <c r="Q3" s="38" t="s">
        <v>107</v>
      </c>
      <c r="R3" s="37" t="s">
        <v>109</v>
      </c>
      <c r="S3" s="37"/>
      <c r="T3" s="37"/>
      <c r="U3" s="37"/>
    </row>
    <row r="4" spans="1:21">
      <c r="A4" s="28" t="s">
        <v>392</v>
      </c>
      <c r="B4" s="28"/>
      <c r="C4" s="28"/>
      <c r="D4" s="86"/>
      <c r="E4" s="86"/>
      <c r="F4" s="86"/>
      <c r="G4" s="38"/>
      <c r="H4" s="38" t="s">
        <v>190</v>
      </c>
      <c r="I4" s="38" t="s">
        <v>191</v>
      </c>
      <c r="J4" s="38" t="s">
        <v>192</v>
      </c>
      <c r="K4" s="38" t="s">
        <v>193</v>
      </c>
      <c r="L4" s="38" t="s">
        <v>194</v>
      </c>
      <c r="M4" s="38" t="s">
        <v>195</v>
      </c>
      <c r="N4" s="38"/>
      <c r="O4" s="38"/>
      <c r="P4" s="38"/>
      <c r="Q4" s="38"/>
      <c r="R4" s="37"/>
      <c r="S4" s="37"/>
      <c r="T4" s="37"/>
      <c r="U4" s="37"/>
    </row>
    <row r="5" spans="1:21">
      <c r="A5" s="28" t="s">
        <v>12</v>
      </c>
      <c r="B5" s="28" t="s">
        <v>493</v>
      </c>
      <c r="C5" s="28" t="s">
        <v>501</v>
      </c>
      <c r="D5" s="86" t="s">
        <v>368</v>
      </c>
      <c r="E5" s="86" t="s">
        <v>502</v>
      </c>
      <c r="F5" s="86" t="s">
        <v>503</v>
      </c>
      <c r="G5" s="38" t="s">
        <v>504</v>
      </c>
      <c r="H5" s="38" t="s">
        <v>113</v>
      </c>
      <c r="I5" s="38" t="s">
        <v>115</v>
      </c>
      <c r="J5" s="38" t="s">
        <v>117</v>
      </c>
      <c r="K5" s="38" t="s">
        <v>119</v>
      </c>
      <c r="L5" s="38" t="s">
        <v>121</v>
      </c>
      <c r="M5" s="38" t="s">
        <v>123</v>
      </c>
      <c r="N5" s="38" t="s">
        <v>102</v>
      </c>
      <c r="O5" s="38" t="s">
        <v>104</v>
      </c>
      <c r="P5" s="38" t="s">
        <v>106</v>
      </c>
      <c r="Q5" s="38" t="s">
        <v>108</v>
      </c>
      <c r="R5" s="37" t="s">
        <v>505</v>
      </c>
      <c r="S5" s="37"/>
      <c r="T5" s="37"/>
      <c r="U5" s="37"/>
    </row>
    <row r="6" spans="2:21">
      <c r="B6" s="104">
        <v>30001</v>
      </c>
      <c r="C6" s="7" t="s">
        <v>370</v>
      </c>
      <c r="D6" s="104" t="s">
        <v>370</v>
      </c>
      <c r="E6" s="104" t="s">
        <v>358</v>
      </c>
      <c r="F6" s="7" t="s">
        <v>332</v>
      </c>
      <c r="G6" s="104" t="s">
        <v>506</v>
      </c>
      <c r="H6" s="36">
        <v>1</v>
      </c>
      <c r="I6" s="106">
        <v>1</v>
      </c>
      <c r="J6" s="106">
        <v>1</v>
      </c>
      <c r="K6" s="106">
        <v>1</v>
      </c>
      <c r="L6" s="106">
        <v>1</v>
      </c>
      <c r="M6" s="106">
        <v>1</v>
      </c>
      <c r="N6" s="8" t="s">
        <v>507</v>
      </c>
      <c r="O6">
        <v>10</v>
      </c>
      <c r="P6">
        <v>6</v>
      </c>
      <c r="Q6">
        <v>0</v>
      </c>
      <c r="R6" s="107"/>
      <c r="S6" s="108"/>
      <c r="T6" s="107" t="str">
        <f>IF(R6="","",IFERROR(VLOOKUP(R6,角色_能力!B:C,2,FALSE),"ERROR"))</f>
        <v/>
      </c>
      <c r="U6" s="108" t="str">
        <f>IF(S6="","",IFERROR(VLOOKUP(S6,角色_能力!B:C,2,FALSE),"ERROR"))</f>
        <v/>
      </c>
    </row>
    <row r="7" spans="2:21">
      <c r="B7" s="104">
        <v>30002</v>
      </c>
      <c r="C7" s="7" t="s">
        <v>508</v>
      </c>
      <c r="D7" s="104" t="s">
        <v>372</v>
      </c>
      <c r="E7" s="104" t="s">
        <v>358</v>
      </c>
      <c r="F7" s="7" t="s">
        <v>332</v>
      </c>
      <c r="G7" s="104" t="s">
        <v>509</v>
      </c>
      <c r="H7" s="36">
        <v>0</v>
      </c>
      <c r="I7" s="106">
        <v>0</v>
      </c>
      <c r="J7" s="106">
        <v>2</v>
      </c>
      <c r="K7" s="106">
        <v>0</v>
      </c>
      <c r="L7" s="106">
        <v>2</v>
      </c>
      <c r="M7" s="106">
        <v>0</v>
      </c>
      <c r="N7" s="8" t="s">
        <v>510</v>
      </c>
      <c r="O7">
        <v>10</v>
      </c>
      <c r="P7">
        <v>5</v>
      </c>
      <c r="Q7">
        <v>0</v>
      </c>
      <c r="R7" s="107">
        <v>50011</v>
      </c>
      <c r="S7" s="109"/>
      <c r="T7" s="107" t="str">
        <f>IF(R7="","",IFERROR(VLOOKUP(R7,角色_能力!B:C,2,FALSE),"ERROR"))</f>
        <v>矮人坚韧</v>
      </c>
      <c r="U7" s="109" t="str">
        <f>IF(S7="","",IFERROR(VLOOKUP(S7,角色_能力!B:C,2,FALSE),"ERROR"))</f>
        <v/>
      </c>
    </row>
    <row r="8" spans="2:21">
      <c r="B8" s="104">
        <v>30003</v>
      </c>
      <c r="C8" s="7" t="s">
        <v>511</v>
      </c>
      <c r="D8" s="104" t="s">
        <v>372</v>
      </c>
      <c r="E8" s="104" t="s">
        <v>358</v>
      </c>
      <c r="F8" s="7" t="s">
        <v>332</v>
      </c>
      <c r="G8" s="104" t="s">
        <v>509</v>
      </c>
      <c r="H8" s="36">
        <v>2</v>
      </c>
      <c r="I8" s="106">
        <v>0</v>
      </c>
      <c r="J8" s="106">
        <v>2</v>
      </c>
      <c r="K8" s="106">
        <v>0</v>
      </c>
      <c r="L8" s="106">
        <v>0</v>
      </c>
      <c r="M8" s="106">
        <v>0</v>
      </c>
      <c r="N8" s="8" t="s">
        <v>510</v>
      </c>
      <c r="O8">
        <v>10</v>
      </c>
      <c r="P8">
        <v>5</v>
      </c>
      <c r="Q8">
        <v>0</v>
      </c>
      <c r="R8" s="107">
        <v>50011</v>
      </c>
      <c r="S8" s="109"/>
      <c r="T8" s="107" t="str">
        <f>IF(R8="","",IFERROR(VLOOKUP(R8,角色_能力!B:C,2,FALSE),"ERROR"))</f>
        <v>矮人坚韧</v>
      </c>
      <c r="U8" s="109" t="str">
        <f>IF(S8="","",IFERROR(VLOOKUP(S8,角色_能力!B:C,2,FALSE),"ERROR"))</f>
        <v/>
      </c>
    </row>
    <row r="9" spans="2:21">
      <c r="B9" s="104">
        <v>30004</v>
      </c>
      <c r="C9" s="7" t="s">
        <v>512</v>
      </c>
      <c r="D9" s="104" t="s">
        <v>374</v>
      </c>
      <c r="E9" s="104" t="s">
        <v>358</v>
      </c>
      <c r="F9" s="7" t="s">
        <v>332</v>
      </c>
      <c r="G9" s="104" t="s">
        <v>513</v>
      </c>
      <c r="H9" s="36">
        <v>0</v>
      </c>
      <c r="I9" s="106">
        <v>2</v>
      </c>
      <c r="J9" s="106">
        <v>0</v>
      </c>
      <c r="K9" s="106">
        <v>0</v>
      </c>
      <c r="L9" s="106">
        <v>1</v>
      </c>
      <c r="M9" s="106">
        <v>0</v>
      </c>
      <c r="N9" s="8" t="s">
        <v>507</v>
      </c>
      <c r="O9">
        <v>10</v>
      </c>
      <c r="P9">
        <v>7</v>
      </c>
      <c r="Q9">
        <v>0</v>
      </c>
      <c r="R9" s="107"/>
      <c r="S9" s="109"/>
      <c r="T9" s="107" t="str">
        <f>IF(R9="","",IFERROR(VLOOKUP(R9,角色_能力!B:C,2,FALSE),"ERROR"))</f>
        <v/>
      </c>
      <c r="U9" s="108" t="str">
        <f>IF(S9="","",IFERROR(VLOOKUP(S9,角色_能力!B:C,2,FALSE),"ERROR"))</f>
        <v/>
      </c>
    </row>
    <row r="10" spans="2:21">
      <c r="B10" s="104">
        <v>30005</v>
      </c>
      <c r="C10" s="7" t="s">
        <v>514</v>
      </c>
      <c r="D10" s="104" t="s">
        <v>374</v>
      </c>
      <c r="E10" s="104" t="s">
        <v>358</v>
      </c>
      <c r="F10" s="7" t="s">
        <v>332</v>
      </c>
      <c r="G10" s="104" t="s">
        <v>322</v>
      </c>
      <c r="H10" s="36">
        <v>0</v>
      </c>
      <c r="I10" s="106">
        <v>2</v>
      </c>
      <c r="J10" s="106">
        <v>0</v>
      </c>
      <c r="K10" s="106">
        <v>0</v>
      </c>
      <c r="L10" s="106">
        <v>1</v>
      </c>
      <c r="M10" s="106">
        <v>0</v>
      </c>
      <c r="N10" s="8" t="s">
        <v>507</v>
      </c>
      <c r="O10">
        <v>10</v>
      </c>
      <c r="P10">
        <v>7</v>
      </c>
      <c r="Q10">
        <v>0</v>
      </c>
      <c r="R10" s="107">
        <v>51201</v>
      </c>
      <c r="S10" s="109">
        <v>51202</v>
      </c>
      <c r="T10" s="107" t="str">
        <f>IF(R10="","",IFERROR(VLOOKUP(R10,角色_能力!B:C,2,FALSE),"ERROR"))</f>
        <v>冷冻射线</v>
      </c>
      <c r="U10" s="109" t="str">
        <f>IF(S10="","",IFERROR(VLOOKUP(S10,角色_能力!B:C,2,FALSE),"ERROR"))</f>
        <v>火焰箭</v>
      </c>
    </row>
    <row r="11" spans="2:21">
      <c r="B11" s="104">
        <v>30006</v>
      </c>
      <c r="C11" s="7" t="s">
        <v>376</v>
      </c>
      <c r="D11" s="104" t="s">
        <v>376</v>
      </c>
      <c r="E11" s="105" t="s">
        <v>358</v>
      </c>
      <c r="F11" s="7" t="s">
        <v>330</v>
      </c>
      <c r="G11" s="104" t="s">
        <v>322</v>
      </c>
      <c r="H11" s="36">
        <v>0</v>
      </c>
      <c r="I11" s="106">
        <v>2</v>
      </c>
      <c r="J11" s="106">
        <v>0</v>
      </c>
      <c r="K11" s="106">
        <v>0</v>
      </c>
      <c r="L11" s="106">
        <v>0</v>
      </c>
      <c r="M11" s="106">
        <v>1</v>
      </c>
      <c r="N11" s="8" t="s">
        <v>507</v>
      </c>
      <c r="O11">
        <v>10</v>
      </c>
      <c r="P11">
        <v>5</v>
      </c>
      <c r="Q11">
        <v>0</v>
      </c>
      <c r="R11" s="107">
        <v>50013</v>
      </c>
      <c r="S11" s="109"/>
      <c r="T11" s="107" t="str">
        <f>IF(R11="","",IFERROR(VLOOKUP(R11,角色_能力!B:C,2,FALSE),"ERROR"))</f>
        <v>幸运</v>
      </c>
      <c r="U11" s="109" t="str">
        <f>IF(S11="","",IFERROR(VLOOKUP(S11,角色_能力!B:C,2,FALSE),"ERROR"))</f>
        <v/>
      </c>
    </row>
    <row r="12" spans="2:21">
      <c r="B12" s="104">
        <v>30007</v>
      </c>
      <c r="C12" s="7" t="s">
        <v>378</v>
      </c>
      <c r="D12" s="104" t="s">
        <v>378</v>
      </c>
      <c r="E12" s="104" t="s">
        <v>358</v>
      </c>
      <c r="F12" s="7" t="s">
        <v>330</v>
      </c>
      <c r="G12" s="104" t="s">
        <v>322</v>
      </c>
      <c r="H12" s="36">
        <v>0</v>
      </c>
      <c r="I12" s="106">
        <v>1</v>
      </c>
      <c r="J12" s="106">
        <v>0</v>
      </c>
      <c r="K12" s="106">
        <v>2</v>
      </c>
      <c r="L12" s="106">
        <v>0</v>
      </c>
      <c r="M12" s="106">
        <v>0</v>
      </c>
      <c r="N12" s="8" t="s">
        <v>507</v>
      </c>
      <c r="O12">
        <v>10</v>
      </c>
      <c r="P12">
        <v>5</v>
      </c>
      <c r="Q12">
        <v>0</v>
      </c>
      <c r="R12" s="107">
        <v>50014</v>
      </c>
      <c r="S12" s="109"/>
      <c r="T12" s="107" t="str">
        <f>IF(R12="","",IFERROR(VLOOKUP(R12,角色_能力!B:C,2,FALSE),"ERROR"))</f>
        <v>侏儒狡黠</v>
      </c>
      <c r="U12" s="108" t="str">
        <f>IF(S12="","",IFERROR(VLOOKUP(S12,角色_能力!B:C,2,FALSE),"ERROR"))</f>
        <v/>
      </c>
    </row>
    <row r="13" spans="2:21">
      <c r="B13" s="104">
        <v>30008</v>
      </c>
      <c r="C13" s="7" t="s">
        <v>380</v>
      </c>
      <c r="D13" s="104" t="s">
        <v>380</v>
      </c>
      <c r="E13" s="104" t="s">
        <v>358</v>
      </c>
      <c r="F13" s="7" t="s">
        <v>332</v>
      </c>
      <c r="G13" s="104" t="s">
        <v>515</v>
      </c>
      <c r="H13" s="36">
        <v>0</v>
      </c>
      <c r="I13" s="106">
        <v>1</v>
      </c>
      <c r="J13" s="106">
        <v>0</v>
      </c>
      <c r="K13" s="106">
        <v>1</v>
      </c>
      <c r="L13" s="106">
        <v>0</v>
      </c>
      <c r="M13" s="106">
        <v>2</v>
      </c>
      <c r="N13" s="8" t="s">
        <v>507</v>
      </c>
      <c r="O13">
        <v>10</v>
      </c>
      <c r="P13">
        <v>6</v>
      </c>
      <c r="Q13">
        <v>0</v>
      </c>
      <c r="R13" s="107"/>
      <c r="S13" s="109"/>
      <c r="T13" s="107" t="str">
        <f>IF(R13="","",IFERROR(VLOOKUP(R13,角色_能力!B:C,2,FALSE),"ERROR"))</f>
        <v/>
      </c>
      <c r="U13" s="109" t="str">
        <f>IF(S13="","",IFERROR(VLOOKUP(S13,角色_能力!B:C,2,FALSE),"ERROR"))</f>
        <v/>
      </c>
    </row>
    <row r="14" spans="2:21">
      <c r="B14" s="104">
        <v>30009</v>
      </c>
      <c r="C14" s="7" t="s">
        <v>382</v>
      </c>
      <c r="D14" s="104" t="s">
        <v>382</v>
      </c>
      <c r="E14" s="104" t="s">
        <v>358</v>
      </c>
      <c r="F14" s="7" t="s">
        <v>332</v>
      </c>
      <c r="G14" s="104" t="s">
        <v>322</v>
      </c>
      <c r="H14" s="36">
        <v>2</v>
      </c>
      <c r="I14" s="106">
        <v>0</v>
      </c>
      <c r="J14" s="106">
        <v>0</v>
      </c>
      <c r="K14" s="106">
        <v>0</v>
      </c>
      <c r="L14" s="106">
        <v>0</v>
      </c>
      <c r="M14" s="106">
        <v>1</v>
      </c>
      <c r="N14" s="8" t="s">
        <v>507</v>
      </c>
      <c r="O14">
        <v>13</v>
      </c>
      <c r="P14">
        <v>6</v>
      </c>
      <c r="Q14">
        <v>0</v>
      </c>
      <c r="R14" s="107">
        <v>50015</v>
      </c>
      <c r="S14" s="109"/>
      <c r="T14" s="107" t="str">
        <f>IF(R14="","",IFERROR(VLOOKUP(R14,角色_能力!B:C,2,FALSE),"ERROR"))</f>
        <v>吐息武器</v>
      </c>
      <c r="U14" s="109" t="str">
        <f>IF(S14="","",IFERROR(VLOOKUP(S14,角色_能力!B:C,2,FALSE),"ERROR"))</f>
        <v/>
      </c>
    </row>
    <row r="15" spans="2:21">
      <c r="B15" s="104">
        <v>30010</v>
      </c>
      <c r="C15" s="7" t="s">
        <v>384</v>
      </c>
      <c r="D15" s="104" t="s">
        <v>384</v>
      </c>
      <c r="E15" s="104" t="s">
        <v>358</v>
      </c>
      <c r="F15" s="7" t="s">
        <v>332</v>
      </c>
      <c r="G15" s="104" t="s">
        <v>322</v>
      </c>
      <c r="H15" s="36">
        <v>2</v>
      </c>
      <c r="I15" s="106">
        <v>0</v>
      </c>
      <c r="J15" s="106">
        <v>1</v>
      </c>
      <c r="K15" s="106">
        <v>0</v>
      </c>
      <c r="L15" s="106">
        <v>0</v>
      </c>
      <c r="M15" s="106">
        <v>0</v>
      </c>
      <c r="N15" s="8" t="s">
        <v>507</v>
      </c>
      <c r="O15">
        <v>10</v>
      </c>
      <c r="P15">
        <v>6</v>
      </c>
      <c r="Q15">
        <v>0</v>
      </c>
      <c r="R15" s="107">
        <v>50012</v>
      </c>
      <c r="S15" s="109"/>
      <c r="T15" s="107" t="str">
        <f>IF(R15="","",IFERROR(VLOOKUP(R15,角色_能力!B:C,2,FALSE),"ERROR"))</f>
        <v>凶蛮攻击</v>
      </c>
      <c r="U15" s="108" t="str">
        <f>IF(S15="","",IFERROR(VLOOKUP(S15,角色_能力!B:C,2,FALSE),"ERROR"))</f>
        <v/>
      </c>
    </row>
    <row r="16" spans="2:21">
      <c r="B16" s="104">
        <v>30011</v>
      </c>
      <c r="C16" s="7" t="s">
        <v>386</v>
      </c>
      <c r="D16" s="104" t="s">
        <v>386</v>
      </c>
      <c r="E16" s="104" t="s">
        <v>358</v>
      </c>
      <c r="F16" s="7" t="s">
        <v>332</v>
      </c>
      <c r="G16" s="104" t="s">
        <v>322</v>
      </c>
      <c r="H16" s="36">
        <v>0</v>
      </c>
      <c r="I16" s="106">
        <v>0</v>
      </c>
      <c r="J16" s="106">
        <v>0</v>
      </c>
      <c r="K16" s="106">
        <v>1</v>
      </c>
      <c r="L16" s="106">
        <v>0</v>
      </c>
      <c r="M16" s="106">
        <v>2</v>
      </c>
      <c r="N16" s="8" t="s">
        <v>516</v>
      </c>
      <c r="O16">
        <v>10</v>
      </c>
      <c r="P16">
        <v>6</v>
      </c>
      <c r="Q16">
        <v>0</v>
      </c>
      <c r="R16" s="107">
        <v>50016</v>
      </c>
      <c r="S16" s="109"/>
      <c r="T16" s="107" t="str">
        <f>IF(R16="","",IFERROR(VLOOKUP(R16,角色_能力!B:C,2,FALSE),"ERROR"))</f>
        <v>炼狱叱喝</v>
      </c>
      <c r="U16" s="109" t="str">
        <f>IF(S16="","",IFERROR(VLOOKUP(S16,角色_能力!B:C,2,FALSE),"ERROR"))</f>
        <v/>
      </c>
    </row>
    <row r="17" spans="19:20">
      <c r="S17" s="110"/>
      <c r="T17" s="110"/>
    </row>
    <row r="19" spans="3:14">
      <c r="C19"/>
      <c r="D19"/>
      <c r="H19" s="6"/>
      <c r="I19" s="6"/>
      <c r="J19" s="6"/>
      <c r="K19" s="6"/>
      <c r="L19" s="6"/>
      <c r="M19" s="6"/>
      <c r="N19" s="6"/>
    </row>
    <row r="20" spans="3:14">
      <c r="C20"/>
      <c r="D20"/>
      <c r="H20" s="6"/>
      <c r="I20" s="6"/>
      <c r="J20" s="6"/>
      <c r="K20" s="6"/>
      <c r="L20" s="6"/>
      <c r="M20" s="6"/>
      <c r="N20" s="6"/>
    </row>
    <row r="21" spans="3:14">
      <c r="C21"/>
      <c r="H21" s="6"/>
      <c r="I21" s="6"/>
      <c r="J21" s="6"/>
      <c r="K21" s="6"/>
      <c r="L21" s="6"/>
      <c r="M21" s="6"/>
      <c r="N21" s="6"/>
    </row>
    <row r="22" spans="3:14">
      <c r="C22"/>
      <c r="H22" s="6"/>
      <c r="I22" s="6"/>
      <c r="J22" s="6"/>
      <c r="K22" s="6"/>
      <c r="L22" s="6"/>
      <c r="M22" s="6"/>
      <c r="N22" s="6"/>
    </row>
    <row r="23" spans="3:14">
      <c r="C23"/>
      <c r="H23" s="6"/>
      <c r="I23" s="6"/>
      <c r="J23" s="6"/>
      <c r="K23" s="6"/>
      <c r="L23" s="6"/>
      <c r="M23" s="6"/>
      <c r="N23" s="6"/>
    </row>
    <row r="24" spans="3:14">
      <c r="C24"/>
      <c r="H24" s="6"/>
      <c r="I24" s="6"/>
      <c r="J24" s="6"/>
      <c r="K24" s="6"/>
      <c r="L24" s="6"/>
      <c r="M24" s="6"/>
      <c r="N24" s="6"/>
    </row>
    <row r="25" spans="3:14">
      <c r="C25"/>
      <c r="H25" s="6"/>
      <c r="I25" s="6"/>
      <c r="J25" s="6"/>
      <c r="K25" s="6"/>
      <c r="L25" s="6"/>
      <c r="M25" s="6"/>
      <c r="N25" s="6"/>
    </row>
    <row r="26" spans="3:14">
      <c r="C26"/>
      <c r="H26" s="6"/>
      <c r="I26" s="6"/>
      <c r="J26" s="6"/>
      <c r="K26" s="6"/>
      <c r="L26" s="6"/>
      <c r="M26" s="6"/>
      <c r="N26" s="6"/>
    </row>
    <row r="27" spans="3:14">
      <c r="C27"/>
      <c r="H27" s="6"/>
      <c r="I27" s="6"/>
      <c r="J27" s="6"/>
      <c r="K27" s="6"/>
      <c r="L27" s="6"/>
      <c r="M27" s="6"/>
      <c r="N27" s="6"/>
    </row>
    <row r="28" spans="3:14">
      <c r="C28"/>
      <c r="H28" s="6"/>
      <c r="I28" s="6"/>
      <c r="J28" s="6"/>
      <c r="K28" s="6"/>
      <c r="L28" s="6"/>
      <c r="M28" s="6"/>
      <c r="N28" s="6"/>
    </row>
    <row r="29" spans="3:14">
      <c r="C29"/>
      <c r="D29"/>
      <c r="H29" s="6"/>
      <c r="I29" s="6"/>
      <c r="J29" s="6"/>
      <c r="K29" s="6"/>
      <c r="L29" s="6"/>
      <c r="M29" s="6"/>
      <c r="N29" s="6"/>
    </row>
    <row r="30" spans="3:14">
      <c r="C30"/>
      <c r="D30"/>
      <c r="H30" s="6"/>
      <c r="I30" s="6"/>
      <c r="J30" s="6"/>
      <c r="K30" s="6"/>
      <c r="L30" s="6"/>
      <c r="M30" s="6"/>
      <c r="N30" s="6"/>
    </row>
    <row r="31" spans="3:14">
      <c r="C31"/>
      <c r="D31"/>
      <c r="H31" s="6"/>
      <c r="I31" s="6"/>
      <c r="J31" s="6"/>
      <c r="K31" s="6"/>
      <c r="L31" s="6"/>
      <c r="M31" s="6"/>
      <c r="N31" s="6"/>
    </row>
    <row r="32" spans="3:14">
      <c r="C32"/>
      <c r="D32"/>
      <c r="H32" s="6"/>
      <c r="I32" s="6"/>
      <c r="J32" s="6"/>
      <c r="K32" s="6"/>
      <c r="L32" s="6"/>
      <c r="M32" s="6"/>
      <c r="N32" s="6"/>
    </row>
    <row r="33" spans="3:14">
      <c r="C33"/>
      <c r="D33"/>
      <c r="H33" s="6"/>
      <c r="I33" s="6"/>
      <c r="J33" s="6"/>
      <c r="K33" s="6"/>
      <c r="L33" s="6"/>
      <c r="M33" s="6"/>
      <c r="N33" s="6"/>
    </row>
    <row r="34" spans="3:14">
      <c r="C34"/>
      <c r="D34"/>
      <c r="H34" s="6"/>
      <c r="I34" s="6"/>
      <c r="J34" s="6"/>
      <c r="K34" s="6"/>
      <c r="L34" s="6"/>
      <c r="M34" s="6"/>
      <c r="N34" s="6"/>
    </row>
    <row r="35" spans="3:14">
      <c r="C35"/>
      <c r="D35"/>
      <c r="H35" s="6"/>
      <c r="I35" s="6"/>
      <c r="J35" s="6"/>
      <c r="K35" s="6"/>
      <c r="L35" s="6"/>
      <c r="M35" s="6"/>
      <c r="N35" s="6"/>
    </row>
    <row r="36" spans="3:14">
      <c r="C36"/>
      <c r="D36"/>
      <c r="H36" s="6"/>
      <c r="I36" s="6"/>
      <c r="J36" s="6"/>
      <c r="K36" s="6"/>
      <c r="L36" s="6"/>
      <c r="M36" s="6"/>
      <c r="N36" s="6"/>
    </row>
    <row r="37" spans="3:4">
      <c r="C37"/>
      <c r="D37"/>
    </row>
    <row r="38" spans="3:4">
      <c r="C38"/>
      <c r="D38"/>
    </row>
    <row r="39" spans="3:4">
      <c r="C39"/>
      <c r="D39"/>
    </row>
    <row r="40" spans="3:4">
      <c r="C40"/>
      <c r="D40"/>
    </row>
    <row r="41" spans="3:4">
      <c r="C41"/>
      <c r="D41"/>
    </row>
    <row r="42" spans="3:4">
      <c r="C42"/>
      <c r="D42"/>
    </row>
    <row r="43" spans="3:4">
      <c r="C43"/>
      <c r="D43"/>
    </row>
    <row r="44" spans="3:4">
      <c r="C44"/>
      <c r="D44"/>
    </row>
    <row r="45" spans="3:4">
      <c r="C45"/>
      <c r="D45"/>
    </row>
    <row r="46" spans="3:4">
      <c r="C46"/>
      <c r="D46"/>
    </row>
    <row r="47" spans="3:4">
      <c r="C47"/>
      <c r="D47"/>
    </row>
    <row r="48" spans="3:4">
      <c r="C48"/>
      <c r="D48"/>
    </row>
    <row r="49" spans="3:4">
      <c r="C49"/>
      <c r="D49"/>
    </row>
  </sheetData>
  <sheetProtection formatCells="0" formatColumns="0" formatRows="0" insertRows="0" insertColumns="0" insertHyperlinks="0" deleteColumns="0" deleteRows="0" sort="0" autoFilter="0" pivotTables="0"/>
  <mergeCells count="7">
    <mergeCell ref="H1:S1"/>
    <mergeCell ref="H2:S2"/>
    <mergeCell ref="H3:M3"/>
    <mergeCell ref="R3:S3"/>
    <mergeCell ref="R4:S4"/>
    <mergeCell ref="R5:S5"/>
    <mergeCell ref="T1:U5"/>
  </mergeCells>
  <conditionalFormatting sqref="U9">
    <cfRule type="containsText" dxfId="0" priority="1" operator="between" text="ERROR">
      <formula>NOT(ISERROR(SEARCH("ERROR",U9)))</formula>
    </cfRule>
  </conditionalFormatting>
  <conditionalFormatting sqref="T1 T6:U1048576">
    <cfRule type="containsText" dxfId="1" priority="2" operator="between" text="ERROR">
      <formula>NOT(ISERROR(SEARCH("ERROR",T1)))</formula>
    </cfRule>
  </conditionalFormatting>
  <conditionalFormatting sqref="H6:M16">
    <cfRule type="cellIs" dxfId="2" priority="3" operator="greaterThan">
      <formula>0</formula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68"/>
  <sheetViews>
    <sheetView topLeftCell="AY6" workbookViewId="0">
      <selection activeCell="AH19" sqref="AH19"/>
    </sheetView>
  </sheetViews>
  <sheetFormatPr defaultColWidth="9" defaultRowHeight="14.25"/>
  <cols>
    <col min="1" max="1" width="8.725" style="5"/>
    <col min="2" max="2" width="9.04166666666667" style="31" customWidth="1"/>
    <col min="3" max="3" width="18.2916666666667" style="31" customWidth="1"/>
    <col min="4" max="4" width="7.125" style="31" customWidth="1"/>
    <col min="5" max="5" width="9.25" style="31" customWidth="1"/>
    <col min="6" max="6" width="8.625" style="74" customWidth="1"/>
    <col min="7" max="7" width="8.875" style="70" customWidth="1"/>
    <col min="8" max="8" width="6.625" style="74" customWidth="1"/>
    <col min="9" max="9" width="8.875" style="70" customWidth="1"/>
    <col min="10" max="10" width="6.625" style="74" customWidth="1"/>
    <col min="11" max="11" width="8.725" style="74"/>
    <col min="12" max="12" width="10.875" style="74" customWidth="1"/>
    <col min="13" max="13" width="8.725" style="81"/>
    <col min="14" max="14" width="8.725" style="94"/>
    <col min="15" max="15" width="5.125" style="79" customWidth="1"/>
    <col min="16" max="20" width="5.125" style="80" customWidth="1"/>
    <col min="21" max="21" width="9.75" style="17" customWidth="1"/>
    <col min="22" max="25" width="8.625" style="17" customWidth="1"/>
    <col min="26" max="28" width="8.75833333333333" style="17" customWidth="1"/>
    <col min="29" max="30" width="8.725" style="17"/>
    <col min="31" max="42" width="8.725" style="16"/>
    <col min="43" max="54" width="8.725" style="17"/>
  </cols>
  <sheetData>
    <row r="1" s="85" customFormat="1" spans="1:60">
      <c r="A1" s="63" t="s">
        <v>0</v>
      </c>
      <c r="B1" s="64" t="s">
        <v>172</v>
      </c>
      <c r="C1" s="64" t="s">
        <v>72</v>
      </c>
      <c r="D1" s="64" t="s">
        <v>517</v>
      </c>
      <c r="E1" s="64" t="s">
        <v>518</v>
      </c>
      <c r="F1" s="63" t="s">
        <v>519</v>
      </c>
      <c r="G1" s="63" t="s">
        <v>520</v>
      </c>
      <c r="H1" s="63"/>
      <c r="I1" s="63"/>
      <c r="J1" s="63"/>
      <c r="K1" s="63" t="s">
        <v>521</v>
      </c>
      <c r="L1" s="95" t="s">
        <v>522</v>
      </c>
      <c r="M1" s="95"/>
      <c r="N1" s="97"/>
      <c r="O1" s="76" t="s">
        <v>499</v>
      </c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 t="s">
        <v>500</v>
      </c>
      <c r="AC1" s="63"/>
      <c r="AD1" s="63"/>
      <c r="AE1" s="63" t="s">
        <v>523</v>
      </c>
      <c r="AF1" s="63"/>
      <c r="AG1" s="63"/>
      <c r="AH1" s="63"/>
      <c r="AI1" s="63"/>
      <c r="AJ1" s="63"/>
      <c r="AK1" s="63" t="s">
        <v>524</v>
      </c>
      <c r="AL1" s="63"/>
      <c r="AM1" s="63"/>
      <c r="AN1" s="63"/>
      <c r="AO1" s="63"/>
      <c r="AP1" s="63"/>
      <c r="AQ1" s="85" t="s">
        <v>525</v>
      </c>
      <c r="BC1" s="63" t="s">
        <v>526</v>
      </c>
      <c r="BD1" s="63"/>
      <c r="BE1" s="63"/>
      <c r="BF1" s="63"/>
      <c r="BG1" s="63"/>
      <c r="BH1" s="63"/>
    </row>
    <row r="2" s="85" customFormat="1" spans="1:60">
      <c r="A2" s="63" t="s">
        <v>392</v>
      </c>
      <c r="B2" s="64" t="s">
        <v>85</v>
      </c>
      <c r="C2" s="64" t="s">
        <v>393</v>
      </c>
      <c r="D2" s="64" t="s">
        <v>527</v>
      </c>
      <c r="E2" s="64"/>
      <c r="F2" s="63" t="s">
        <v>85</v>
      </c>
      <c r="G2" s="63" t="s">
        <v>528</v>
      </c>
      <c r="H2" s="63"/>
      <c r="I2" s="63"/>
      <c r="J2" s="63"/>
      <c r="K2" s="63" t="s">
        <v>85</v>
      </c>
      <c r="L2" s="96" t="s">
        <v>136</v>
      </c>
      <c r="M2" s="98"/>
      <c r="N2" s="99"/>
      <c r="O2" s="76" t="s">
        <v>95</v>
      </c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 t="s">
        <v>124</v>
      </c>
      <c r="AF2" s="63"/>
      <c r="AG2" s="63"/>
      <c r="AH2" s="63"/>
      <c r="AI2" s="63"/>
      <c r="AJ2" s="63"/>
      <c r="AK2" s="63" t="s">
        <v>124</v>
      </c>
      <c r="AL2" s="63"/>
      <c r="AM2" s="63"/>
      <c r="AN2" s="63"/>
      <c r="AO2" s="63"/>
      <c r="AP2" s="63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63" t="s">
        <v>529</v>
      </c>
      <c r="BD2" s="63"/>
      <c r="BE2" s="63"/>
      <c r="BF2" s="63"/>
      <c r="BG2" s="63"/>
      <c r="BH2" s="63"/>
    </row>
    <row r="3" s="85" customFormat="1" spans="1:60">
      <c r="A3" s="63" t="s">
        <v>392</v>
      </c>
      <c r="B3" s="64"/>
      <c r="C3" s="64"/>
      <c r="D3" s="64"/>
      <c r="E3" s="64"/>
      <c r="F3" s="63"/>
      <c r="G3" s="63"/>
      <c r="H3" s="63"/>
      <c r="I3" s="63"/>
      <c r="J3" s="63"/>
      <c r="K3" s="63"/>
      <c r="L3" s="63" t="s">
        <v>530</v>
      </c>
      <c r="M3" s="100"/>
      <c r="N3" s="101"/>
      <c r="O3" s="76" t="s">
        <v>97</v>
      </c>
      <c r="P3" s="63"/>
      <c r="Q3" s="63"/>
      <c r="R3" s="63"/>
      <c r="S3" s="63"/>
      <c r="T3" s="63"/>
      <c r="U3" s="63" t="s">
        <v>100</v>
      </c>
      <c r="V3" s="63" t="s">
        <v>103</v>
      </c>
      <c r="W3" s="63" t="s">
        <v>105</v>
      </c>
      <c r="X3" s="63" t="s">
        <v>107</v>
      </c>
      <c r="Y3" s="63" t="s">
        <v>109</v>
      </c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63"/>
      <c r="BD3" s="63"/>
      <c r="BE3" s="63"/>
      <c r="BF3" s="63"/>
      <c r="BG3" s="63"/>
      <c r="BH3" s="63"/>
    </row>
    <row r="4" s="85" customFormat="1" spans="1:60">
      <c r="A4" s="63" t="s">
        <v>392</v>
      </c>
      <c r="B4" s="64"/>
      <c r="C4" s="64"/>
      <c r="D4" s="64"/>
      <c r="E4" s="64"/>
      <c r="F4" s="63"/>
      <c r="G4" s="63"/>
      <c r="H4" s="63"/>
      <c r="I4" s="63"/>
      <c r="J4" s="63"/>
      <c r="K4" s="63"/>
      <c r="L4" s="63"/>
      <c r="M4" s="71"/>
      <c r="N4" s="102"/>
      <c r="O4" s="76" t="s">
        <v>190</v>
      </c>
      <c r="P4" s="63" t="s">
        <v>191</v>
      </c>
      <c r="Q4" s="63" t="s">
        <v>192</v>
      </c>
      <c r="R4" s="63" t="s">
        <v>193</v>
      </c>
      <c r="S4" s="63" t="s">
        <v>194</v>
      </c>
      <c r="T4" s="63" t="s">
        <v>195</v>
      </c>
      <c r="U4" s="63"/>
      <c r="V4" s="63"/>
      <c r="W4" s="63"/>
      <c r="X4" s="63"/>
      <c r="Y4" s="63"/>
      <c r="Z4" s="63"/>
      <c r="AA4" s="63"/>
      <c r="AB4" s="63"/>
      <c r="AC4" s="63"/>
      <c r="AD4" s="63"/>
      <c r="AE4" s="63" t="s">
        <v>531</v>
      </c>
      <c r="AF4" s="63" t="s">
        <v>532</v>
      </c>
      <c r="AG4" s="63" t="s">
        <v>533</v>
      </c>
      <c r="AH4" s="63" t="s">
        <v>534</v>
      </c>
      <c r="AI4" s="63"/>
      <c r="AJ4" s="63"/>
      <c r="AK4" s="63" t="s">
        <v>531</v>
      </c>
      <c r="AL4" s="63" t="s">
        <v>532</v>
      </c>
      <c r="AM4" s="63" t="s">
        <v>533</v>
      </c>
      <c r="AN4" s="63" t="s">
        <v>534</v>
      </c>
      <c r="AO4" s="63"/>
      <c r="AP4" s="63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63"/>
      <c r="BD4" s="63"/>
      <c r="BE4" s="63"/>
      <c r="BF4" s="63"/>
      <c r="BG4" s="63"/>
      <c r="BH4" s="63"/>
    </row>
    <row r="5" s="85" customFormat="1" spans="1:60">
      <c r="A5" s="63" t="s">
        <v>12</v>
      </c>
      <c r="B5" s="64" t="s">
        <v>493</v>
      </c>
      <c r="C5" s="64" t="s">
        <v>501</v>
      </c>
      <c r="D5" s="64" t="s">
        <v>535</v>
      </c>
      <c r="E5" s="64"/>
      <c r="F5" s="63" t="s">
        <v>536</v>
      </c>
      <c r="G5" s="63" t="s">
        <v>197</v>
      </c>
      <c r="H5" s="63" t="s">
        <v>537</v>
      </c>
      <c r="I5" s="63" t="s">
        <v>197</v>
      </c>
      <c r="J5" s="63" t="s">
        <v>537</v>
      </c>
      <c r="K5" s="63" t="s">
        <v>538</v>
      </c>
      <c r="L5" s="63" t="s">
        <v>539</v>
      </c>
      <c r="M5" s="63" t="s">
        <v>540</v>
      </c>
      <c r="N5" s="63"/>
      <c r="O5" s="76" t="s">
        <v>113</v>
      </c>
      <c r="P5" s="63" t="s">
        <v>115</v>
      </c>
      <c r="Q5" s="63" t="s">
        <v>117</v>
      </c>
      <c r="R5" s="63" t="s">
        <v>119</v>
      </c>
      <c r="S5" s="63" t="s">
        <v>121</v>
      </c>
      <c r="T5" s="63" t="s">
        <v>123</v>
      </c>
      <c r="U5" s="63" t="s">
        <v>102</v>
      </c>
      <c r="V5" s="63" t="s">
        <v>104</v>
      </c>
      <c r="W5" s="63" t="s">
        <v>106</v>
      </c>
      <c r="X5" s="63" t="s">
        <v>108</v>
      </c>
      <c r="Y5" s="63" t="s">
        <v>505</v>
      </c>
      <c r="Z5" s="63"/>
      <c r="AA5" s="63"/>
      <c r="AB5" s="63"/>
      <c r="AC5" s="63"/>
      <c r="AD5" s="63"/>
      <c r="AE5" s="63" t="s">
        <v>541</v>
      </c>
      <c r="AF5" s="63" t="s">
        <v>542</v>
      </c>
      <c r="AG5" s="63" t="s">
        <v>543</v>
      </c>
      <c r="AH5" s="63" t="s">
        <v>135</v>
      </c>
      <c r="AI5" s="63"/>
      <c r="AJ5" s="63"/>
      <c r="AK5" s="63" t="s">
        <v>541</v>
      </c>
      <c r="AL5" s="63" t="s">
        <v>542</v>
      </c>
      <c r="AM5" s="63" t="s">
        <v>543</v>
      </c>
      <c r="AN5" s="63" t="s">
        <v>135</v>
      </c>
      <c r="AO5" s="63"/>
      <c r="AP5" s="63"/>
      <c r="AQ5" s="85" t="s">
        <v>541</v>
      </c>
      <c r="AR5" s="85" t="s">
        <v>542</v>
      </c>
      <c r="AS5" s="85" t="s">
        <v>543</v>
      </c>
      <c r="AT5" s="85" t="s">
        <v>135</v>
      </c>
      <c r="AW5" s="85" t="s">
        <v>541</v>
      </c>
      <c r="AX5" s="85" t="s">
        <v>542</v>
      </c>
      <c r="AY5" s="85" t="s">
        <v>543</v>
      </c>
      <c r="AZ5" s="85" t="s">
        <v>135</v>
      </c>
      <c r="BC5" s="63" t="s">
        <v>544</v>
      </c>
      <c r="BD5" s="63" t="s">
        <v>545</v>
      </c>
      <c r="BE5" s="63" t="s">
        <v>544</v>
      </c>
      <c r="BF5" s="63" t="s">
        <v>545</v>
      </c>
      <c r="BG5" s="63" t="s">
        <v>544</v>
      </c>
      <c r="BH5" s="63" t="s">
        <v>545</v>
      </c>
    </row>
    <row r="6" spans="2:54">
      <c r="B6" s="65">
        <v>10001</v>
      </c>
      <c r="C6" s="65" t="s">
        <v>546</v>
      </c>
      <c r="D6" s="65">
        <v>30005</v>
      </c>
      <c r="E6" s="65" t="str">
        <f>IF(D6="","",IFERROR(VLOOKUP(D6,角色_种族_友方!B:C,2,FALSE),"ERROR"))</f>
        <v>高精灵</v>
      </c>
      <c r="F6" s="66">
        <f t="shared" ref="F6:F11" si="0">H6+J6</f>
        <v>2</v>
      </c>
      <c r="G6" s="66" t="s">
        <v>211</v>
      </c>
      <c r="H6" s="67">
        <v>2</v>
      </c>
      <c r="I6" s="67"/>
      <c r="J6" s="72"/>
      <c r="K6" s="72">
        <v>0</v>
      </c>
      <c r="L6" s="73" t="s">
        <v>144</v>
      </c>
      <c r="M6" s="77"/>
      <c r="N6" s="72"/>
      <c r="O6" s="92">
        <v>18</v>
      </c>
      <c r="P6" s="93">
        <v>15</v>
      </c>
      <c r="Q6" s="93">
        <v>16</v>
      </c>
      <c r="R6" s="93">
        <v>12</v>
      </c>
      <c r="S6" s="93">
        <v>14</v>
      </c>
      <c r="T6" s="93">
        <v>17</v>
      </c>
      <c r="U6" s="22" t="s">
        <v>507</v>
      </c>
      <c r="V6" s="22">
        <v>16</v>
      </c>
      <c r="W6" s="22">
        <v>6</v>
      </c>
      <c r="X6" s="22">
        <v>2</v>
      </c>
      <c r="Y6" s="22">
        <v>50701</v>
      </c>
      <c r="Z6" s="22">
        <v>50702</v>
      </c>
      <c r="AA6" s="22"/>
      <c r="AB6" s="22" t="str">
        <f>IF(Y6="","",IFERROR(VLOOKUP(Y6,角色_能力!B:C,2,FALSE),"ERROR"))</f>
        <v>至圣斩</v>
      </c>
      <c r="AC6" s="22" t="str">
        <f>IF(Z6="","",IFERROR(VLOOKUP(Z6,角色_能力!B:C,2,FALSE),"ERROR"))</f>
        <v>圣疗术</v>
      </c>
      <c r="AD6" s="22"/>
      <c r="AE6" s="21">
        <v>42702</v>
      </c>
      <c r="AF6" s="21">
        <v>40501</v>
      </c>
      <c r="AG6" s="21">
        <v>40402</v>
      </c>
      <c r="AH6" s="21"/>
      <c r="AI6" s="21"/>
      <c r="AJ6" s="21"/>
      <c r="AK6" s="21">
        <v>0</v>
      </c>
      <c r="AL6" s="21">
        <v>0</v>
      </c>
      <c r="AM6" s="21">
        <v>0</v>
      </c>
      <c r="AN6" s="21"/>
      <c r="AO6" s="21"/>
      <c r="AP6" s="21"/>
      <c r="AQ6" s="22" t="str">
        <f>IF(AE6=0,"无",IFERROR(VLOOKUP(AE6,角色_装备!B:C,2,FALSE),"ERROR"))</f>
        <v>辉黯</v>
      </c>
      <c r="AR6" s="22" t="str">
        <f>IF(AF6=0,"无",IFERROR(VLOOKUP(AF6,角色_装备!B:C,2,FALSE),"ERROR"))</f>
        <v>盾牌</v>
      </c>
      <c r="AS6" s="22" t="str">
        <f>IF(AG6=0,"无",IFERROR(VLOOKUP(AG6,角色_装备!B:C,2,FALSE),"ERROR"))</f>
        <v>链甲</v>
      </c>
      <c r="AT6" s="22"/>
      <c r="AU6" s="22"/>
      <c r="AV6" s="22"/>
      <c r="AW6" s="22" t="str">
        <f>IF(AK6=0,"无",IFERROR(VLOOKUP(AK6,角色_装备!B:C,2,FALSE),"ERROR"))</f>
        <v>无</v>
      </c>
      <c r="AX6" s="22" t="str">
        <f>IF(AL6=0,"无",IFERROR(VLOOKUP(AL6,角色_装备!B:C,2,FALSE),"ERROR"))</f>
        <v>无</v>
      </c>
      <c r="AY6" s="22" t="str">
        <f>IF(AM6=0,"无",IFERROR(VLOOKUP(AM6,角色_装备!B:C,2,FALSE),"ERROR"))</f>
        <v>无</v>
      </c>
      <c r="AZ6" s="22"/>
      <c r="BA6" s="22"/>
      <c r="BB6" s="22"/>
    </row>
    <row r="7" spans="2:51">
      <c r="B7" s="31">
        <v>10002</v>
      </c>
      <c r="C7" s="31" t="s">
        <v>547</v>
      </c>
      <c r="D7" s="31">
        <v>30003</v>
      </c>
      <c r="E7" s="65" t="str">
        <f>IF(D7="","",IFERROR(VLOOKUP(D7,角色_种族_友方!B:C,2,FALSE),"ERROR"))</f>
        <v>高山矮人</v>
      </c>
      <c r="F7" s="69">
        <f t="shared" si="0"/>
        <v>2</v>
      </c>
      <c r="G7" s="68" t="s">
        <v>207</v>
      </c>
      <c r="H7" s="69">
        <v>2</v>
      </c>
      <c r="K7" s="74">
        <v>0</v>
      </c>
      <c r="L7" s="75" t="s">
        <v>144</v>
      </c>
      <c r="O7" s="79">
        <v>20</v>
      </c>
      <c r="P7" s="80">
        <v>16</v>
      </c>
      <c r="Q7" s="80">
        <v>17</v>
      </c>
      <c r="R7" s="80">
        <v>8</v>
      </c>
      <c r="S7" s="80">
        <v>11</v>
      </c>
      <c r="T7" s="80">
        <v>14</v>
      </c>
      <c r="U7" s="17" t="s">
        <v>507</v>
      </c>
      <c r="V7" s="17">
        <v>16</v>
      </c>
      <c r="W7" s="17">
        <v>5</v>
      </c>
      <c r="X7" s="17">
        <v>3</v>
      </c>
      <c r="Y7" s="17">
        <v>50501</v>
      </c>
      <c r="Z7" s="17">
        <v>50502</v>
      </c>
      <c r="AA7" s="17">
        <v>50503</v>
      </c>
      <c r="AB7" s="22" t="str">
        <f>IF(Y7="","",IFERROR(VLOOKUP(Y7,角色_能力!B:C,2,FALSE),"ERROR"))</f>
        <v>回气</v>
      </c>
      <c r="AC7" s="22" t="str">
        <f>IF(Z7="","",IFERROR(VLOOKUP(Z7,角色_能力!B:C,2,FALSE),"ERROR"))</f>
        <v>动作如潮</v>
      </c>
      <c r="AE7" s="16">
        <v>41901</v>
      </c>
      <c r="AF7" s="16">
        <v>0</v>
      </c>
      <c r="AG7" s="16">
        <v>40402</v>
      </c>
      <c r="AK7" s="16">
        <v>0</v>
      </c>
      <c r="AL7" s="16">
        <v>0</v>
      </c>
      <c r="AM7" s="16">
        <v>0</v>
      </c>
      <c r="AQ7" s="22" t="str">
        <f>IF(AE7=0,"无",IFERROR(VLOOKUP(AE7,角色_装备!B:C,2,FALSE),"ERROR"))</f>
        <v>巨斧</v>
      </c>
      <c r="AR7" s="22" t="str">
        <f>IF(AF7=0,"无",IFERROR(VLOOKUP(AF7,角色_装备!B:C,2,FALSE),"ERROR"))</f>
        <v>无</v>
      </c>
      <c r="AS7" s="22" t="str">
        <f>IF(AG7=0,"无",IFERROR(VLOOKUP(AG7,角色_装备!B:C,2,FALSE),"ERROR"))</f>
        <v>链甲</v>
      </c>
      <c r="AW7" s="22" t="str">
        <f>IF(AK7=0,"无",IFERROR(VLOOKUP(AK7,角色_装备!B:C,2,FALSE),"ERROR"))</f>
        <v>无</v>
      </c>
      <c r="AX7" s="22" t="str">
        <f>IF(AL7=0,"无",IFERROR(VLOOKUP(AL7,角色_装备!B:C,2,FALSE),"ERROR"))</f>
        <v>无</v>
      </c>
      <c r="AY7" s="22" t="str">
        <f>IF(AM7=0,"无",IFERROR(VLOOKUP(AM7,角色_装备!B:C,2,FALSE),"ERROR"))</f>
        <v>无</v>
      </c>
    </row>
    <row r="8" spans="2:51">
      <c r="B8" s="31">
        <v>10003</v>
      </c>
      <c r="C8" s="31" t="s">
        <v>548</v>
      </c>
      <c r="D8" s="31">
        <v>30001</v>
      </c>
      <c r="E8" s="65" t="str">
        <f>IF(D8="","",IFERROR(VLOOKUP(D8,角色_种族_友方!B:C,2,FALSE),"ERROR"))</f>
        <v>人类</v>
      </c>
      <c r="F8" s="69">
        <f t="shared" si="0"/>
        <v>2</v>
      </c>
      <c r="G8" s="68" t="s">
        <v>213</v>
      </c>
      <c r="H8" s="69">
        <v>2</v>
      </c>
      <c r="K8" s="74">
        <v>0</v>
      </c>
      <c r="L8" s="75" t="s">
        <v>144</v>
      </c>
      <c r="O8" s="79">
        <v>16</v>
      </c>
      <c r="P8" s="80">
        <v>16</v>
      </c>
      <c r="Q8" s="80">
        <v>14</v>
      </c>
      <c r="R8" s="80">
        <v>12</v>
      </c>
      <c r="S8" s="80">
        <v>14</v>
      </c>
      <c r="T8" s="80">
        <v>12</v>
      </c>
      <c r="U8" s="17" t="s">
        <v>507</v>
      </c>
      <c r="V8" s="17">
        <v>14</v>
      </c>
      <c r="W8" s="17">
        <v>6</v>
      </c>
      <c r="X8" s="17">
        <v>3</v>
      </c>
      <c r="Y8" s="17">
        <v>50801</v>
      </c>
      <c r="AB8" s="22" t="str">
        <f>IF(Y8="","",IFERROR(VLOOKUP(Y8,角色_能力!B:C,2,FALSE),"ERROR"))</f>
        <v>自然探索者</v>
      </c>
      <c r="AC8" s="22" t="str">
        <f>IF(Z8="","",IFERROR(VLOOKUP(Z8,角色_能力!B:C,2,FALSE),"ERROR"))</f>
        <v/>
      </c>
      <c r="AE8" s="16">
        <v>42301</v>
      </c>
      <c r="AF8" s="16">
        <v>0</v>
      </c>
      <c r="AG8" s="16">
        <v>40202</v>
      </c>
      <c r="AK8" s="16">
        <v>43001</v>
      </c>
      <c r="AL8" s="16">
        <v>0</v>
      </c>
      <c r="AM8" s="16">
        <v>40202</v>
      </c>
      <c r="AQ8" s="22" t="str">
        <f>IF(AE8=0,"无",IFERROR(VLOOKUP(AE8,角色_装备!B:C,2,FALSE),"ERROR"))</f>
        <v>长矛</v>
      </c>
      <c r="AR8" s="22" t="str">
        <f>IF(AF8=0,"无",IFERROR(VLOOKUP(AF8,角色_装备!B:C,2,FALSE),"ERROR"))</f>
        <v>无</v>
      </c>
      <c r="AS8" s="22" t="str">
        <f>IF(AG8=0,"无",IFERROR(VLOOKUP(AG8,角色_装备!B:C,2,FALSE),"ERROR"))</f>
        <v>皮甲</v>
      </c>
      <c r="AW8" s="22" t="str">
        <f>IF(AK8=0,"无",IFERROR(VLOOKUP(AK8,角色_装备!B:C,2,FALSE),"ERROR"))</f>
        <v>长弓</v>
      </c>
      <c r="AX8" s="22" t="str">
        <f>IF(AL8=0,"无",IFERROR(VLOOKUP(AL8,角色_装备!B:C,2,FALSE),"ERROR"))</f>
        <v>无</v>
      </c>
      <c r="AY8" s="22" t="str">
        <f>IF(AM8=0,"无",IFERROR(VLOOKUP(AM8,角色_装备!B:C,2,FALSE),"ERROR"))</f>
        <v>皮甲</v>
      </c>
    </row>
    <row r="9" spans="2:51">
      <c r="B9" s="31">
        <v>10004</v>
      </c>
      <c r="C9" s="31" t="s">
        <v>549</v>
      </c>
      <c r="D9" s="31">
        <v>30001</v>
      </c>
      <c r="E9" s="65" t="str">
        <f>IF(D9="","",IFERROR(VLOOKUP(D9,角色_种族_友方!B:C,2,FALSE),"ERROR"))</f>
        <v>人类</v>
      </c>
      <c r="F9" s="69">
        <f t="shared" si="0"/>
        <v>2</v>
      </c>
      <c r="G9" s="68" t="s">
        <v>203</v>
      </c>
      <c r="H9" s="69">
        <v>2</v>
      </c>
      <c r="K9" s="74">
        <v>0</v>
      </c>
      <c r="L9" s="75" t="s">
        <v>144</v>
      </c>
      <c r="O9" s="79">
        <v>15</v>
      </c>
      <c r="P9" s="80">
        <v>10</v>
      </c>
      <c r="Q9" s="80">
        <v>14</v>
      </c>
      <c r="R9" s="80">
        <v>12</v>
      </c>
      <c r="S9" s="80">
        <v>18</v>
      </c>
      <c r="T9" s="80">
        <v>12</v>
      </c>
      <c r="U9" s="17" t="s">
        <v>507</v>
      </c>
      <c r="V9" s="17">
        <v>16</v>
      </c>
      <c r="W9" s="17">
        <v>6</v>
      </c>
      <c r="X9" s="17">
        <v>0</v>
      </c>
      <c r="Y9" s="17">
        <v>50301</v>
      </c>
      <c r="Z9" s="17">
        <v>50302</v>
      </c>
      <c r="AA9" s="17">
        <v>50303</v>
      </c>
      <c r="AB9" s="22" t="str">
        <f>IF(Y9="","",IFERROR(VLOOKUP(Y9,角色_能力!B:C,2,FALSE),"ERROR"))</f>
        <v>圣火术</v>
      </c>
      <c r="AC9" s="22" t="str">
        <f>IF(Z9="","",IFERROR(VLOOKUP(Z9,角色_能力!B:C,2,FALSE),"ERROR"))</f>
        <v>祝福术</v>
      </c>
      <c r="AE9" s="16">
        <v>40601</v>
      </c>
      <c r="AF9" s="16">
        <v>40501</v>
      </c>
      <c r="AG9" s="16">
        <v>40303</v>
      </c>
      <c r="AK9" s="16">
        <v>0</v>
      </c>
      <c r="AL9" s="16">
        <v>0</v>
      </c>
      <c r="AM9" s="16">
        <v>0</v>
      </c>
      <c r="AQ9" s="22" t="str">
        <f>IF(AE9=0,"无",IFERROR(VLOOKUP(AE9,角色_装备!B:C,2,FALSE),"ERROR"))</f>
        <v>短棒</v>
      </c>
      <c r="AR9" s="22" t="str">
        <f>IF(AF9=0,"无",IFERROR(VLOOKUP(AF9,角色_装备!B:C,2,FALSE),"ERROR"))</f>
        <v>盾牌</v>
      </c>
      <c r="AS9" s="22" t="str">
        <f>IF(AG9=0,"无",IFERROR(VLOOKUP(AG9,角色_装备!B:C,2,FALSE),"ERROR"))</f>
        <v>鳞甲</v>
      </c>
      <c r="AW9" s="22" t="str">
        <f>IF(AK9=0,"无",IFERROR(VLOOKUP(AK9,角色_装备!B:C,2,FALSE),"ERROR"))</f>
        <v>无</v>
      </c>
      <c r="AX9" s="22" t="str">
        <f>IF(AL9=0,"无",IFERROR(VLOOKUP(AL9,角色_装备!B:C,2,FALSE),"ERROR"))</f>
        <v>无</v>
      </c>
      <c r="AY9" s="22" t="str">
        <f>IF(AM9=0,"无",IFERROR(VLOOKUP(AM9,角色_装备!B:C,2,FALSE),"ERROR"))</f>
        <v>无</v>
      </c>
    </row>
    <row r="10" spans="2:51">
      <c r="B10" s="31">
        <v>10005</v>
      </c>
      <c r="C10" s="31" t="s">
        <v>550</v>
      </c>
      <c r="D10" s="31">
        <v>30008</v>
      </c>
      <c r="E10" s="65" t="str">
        <f>IF(D10="","",IFERROR(VLOOKUP(D10,角色_种族_友方!B:C,2,FALSE),"ERROR"))</f>
        <v>半精灵</v>
      </c>
      <c r="F10" s="69">
        <f t="shared" si="0"/>
        <v>2</v>
      </c>
      <c r="G10" s="68" t="s">
        <v>201</v>
      </c>
      <c r="H10" s="69">
        <v>2</v>
      </c>
      <c r="K10" s="74">
        <v>0</v>
      </c>
      <c r="L10" s="75" t="s">
        <v>144</v>
      </c>
      <c r="O10" s="79">
        <v>10</v>
      </c>
      <c r="P10" s="80">
        <v>18</v>
      </c>
      <c r="Q10" s="80">
        <v>12</v>
      </c>
      <c r="R10" s="80">
        <v>14</v>
      </c>
      <c r="S10" s="80">
        <v>14</v>
      </c>
      <c r="T10" s="80">
        <v>18</v>
      </c>
      <c r="U10" s="17" t="s">
        <v>507</v>
      </c>
      <c r="V10" s="17">
        <v>15</v>
      </c>
      <c r="W10" s="17">
        <v>6</v>
      </c>
      <c r="X10" s="17">
        <v>4</v>
      </c>
      <c r="Y10" s="17">
        <v>50201</v>
      </c>
      <c r="Z10" s="17">
        <v>50202</v>
      </c>
      <c r="AA10" s="17">
        <v>50203</v>
      </c>
      <c r="AB10" s="22" t="str">
        <f>IF(Y10="","",IFERROR(VLOOKUP(Y10,角色_能力!B:C,2,FALSE),"ERROR"))</f>
        <v>诗人激励</v>
      </c>
      <c r="AC10" s="22" t="str">
        <f>IF(Z10="","",IFERROR(VLOOKUP(Z10,角色_能力!B:C,2,FALSE),"ERROR"))</f>
        <v>恶言相加</v>
      </c>
      <c r="AE10" s="16">
        <v>40701</v>
      </c>
      <c r="AF10" s="16">
        <v>0</v>
      </c>
      <c r="AG10" s="16">
        <v>40202</v>
      </c>
      <c r="AK10" s="16">
        <v>0</v>
      </c>
      <c r="AL10" s="16">
        <v>0</v>
      </c>
      <c r="AM10" s="16">
        <v>0</v>
      </c>
      <c r="AQ10" s="22" t="str">
        <f>IF(AE10=0,"无",IFERROR(VLOOKUP(AE10,角色_装备!B:C,2,FALSE),"ERROR"))</f>
        <v>匕首</v>
      </c>
      <c r="AR10" s="22" t="str">
        <f>IF(AF10=0,"无",IFERROR(VLOOKUP(AF10,角色_装备!B:C,2,FALSE),"ERROR"))</f>
        <v>无</v>
      </c>
      <c r="AS10" s="22" t="str">
        <f>IF(AG10=0,"无",IFERROR(VLOOKUP(AG10,角色_装备!B:C,2,FALSE),"ERROR"))</f>
        <v>皮甲</v>
      </c>
      <c r="AW10" s="22" t="str">
        <f>IF(AK10=0,"无",IFERROR(VLOOKUP(AK10,角色_装备!B:C,2,FALSE),"ERROR"))</f>
        <v>无</v>
      </c>
      <c r="AX10" s="22" t="str">
        <f>IF(AL10=0,"无",IFERROR(VLOOKUP(AL10,角色_装备!B:C,2,FALSE),"ERROR"))</f>
        <v>无</v>
      </c>
      <c r="AY10" s="22" t="str">
        <f>IF(AM10=0,"无",IFERROR(VLOOKUP(AM10,角色_装备!B:C,2,FALSE),"ERROR"))</f>
        <v>无</v>
      </c>
    </row>
    <row r="11" spans="2:51">
      <c r="B11" s="31">
        <v>10006</v>
      </c>
      <c r="C11" s="31" t="s">
        <v>551</v>
      </c>
      <c r="D11" s="31">
        <v>30009</v>
      </c>
      <c r="E11" s="65" t="str">
        <f>IF(D11="","",IFERROR(VLOOKUP(D11,角色_种族_友方!B:C,2,FALSE),"ERROR"))</f>
        <v>龙裔</v>
      </c>
      <c r="F11" s="69">
        <f t="shared" si="0"/>
        <v>2</v>
      </c>
      <c r="G11" s="68" t="s">
        <v>217</v>
      </c>
      <c r="H11" s="69">
        <v>2</v>
      </c>
      <c r="K11" s="74">
        <v>0</v>
      </c>
      <c r="L11" s="75" t="s">
        <v>144</v>
      </c>
      <c r="O11" s="79">
        <v>8</v>
      </c>
      <c r="P11" s="80">
        <v>18</v>
      </c>
      <c r="Q11" s="80">
        <v>16</v>
      </c>
      <c r="R11" s="80">
        <v>11</v>
      </c>
      <c r="S11" s="80">
        <v>12</v>
      </c>
      <c r="T11" s="80">
        <v>18</v>
      </c>
      <c r="U11" s="17" t="s">
        <v>507</v>
      </c>
      <c r="V11" s="17">
        <v>17</v>
      </c>
      <c r="W11" s="17">
        <v>6</v>
      </c>
      <c r="X11" s="17">
        <v>4</v>
      </c>
      <c r="Y11" s="17">
        <v>51202</v>
      </c>
      <c r="Z11" s="17">
        <v>51001</v>
      </c>
      <c r="AA11" s="17">
        <v>51002</v>
      </c>
      <c r="AB11" s="22" t="str">
        <f>IF(Y11="","",IFERROR(VLOOKUP(Y11,角色_能力!B:C,2,FALSE),"ERROR"))</f>
        <v>火焰箭</v>
      </c>
      <c r="AC11" s="22" t="str">
        <f>IF(Z11="","",IFERROR(VLOOKUP(Z11,角色_能力!B:C,2,FALSE),"ERROR"))</f>
        <v>魔法飞弹</v>
      </c>
      <c r="AE11" s="16">
        <v>40701</v>
      </c>
      <c r="AF11" s="16">
        <v>0</v>
      </c>
      <c r="AG11" s="16">
        <v>40101</v>
      </c>
      <c r="AK11" s="16">
        <v>0</v>
      </c>
      <c r="AL11" s="16">
        <v>0</v>
      </c>
      <c r="AM11" s="16">
        <v>0</v>
      </c>
      <c r="AQ11" s="22" t="str">
        <f>IF(AE11=0,"无",IFERROR(VLOOKUP(AE11,角色_装备!B:C,2,FALSE),"ERROR"))</f>
        <v>匕首</v>
      </c>
      <c r="AR11" s="22" t="str">
        <f>IF(AF11=0,"无",IFERROR(VLOOKUP(AF11,角色_装备!B:C,2,FALSE),"ERROR"))</f>
        <v>无</v>
      </c>
      <c r="AS11" s="22" t="str">
        <f>IF(AG11=0,"无",IFERROR(VLOOKUP(AG11,角色_装备!B:C,2,FALSE),"ERROR"))</f>
        <v>布袍</v>
      </c>
      <c r="AW11" s="22" t="str">
        <f>IF(AK11=0,"无",IFERROR(VLOOKUP(AK11,角色_装备!B:C,2,FALSE),"ERROR"))</f>
        <v>无</v>
      </c>
      <c r="AX11" s="22" t="str">
        <f>IF(AL11=0,"无",IFERROR(VLOOKUP(AL11,角色_装备!B:C,2,FALSE),"ERROR"))</f>
        <v>无</v>
      </c>
      <c r="AY11" s="22" t="str">
        <f>IF(AM11=0,"无",IFERROR(VLOOKUP(AM11,角色_装备!B:C,2,FALSE),"ERROR"))</f>
        <v>无</v>
      </c>
    </row>
    <row r="12" spans="5:29">
      <c r="E12" s="65"/>
      <c r="F12" s="69"/>
      <c r="H12" s="69"/>
      <c r="AB12" s="22"/>
      <c r="AC12" s="22"/>
    </row>
    <row r="13" spans="5:29">
      <c r="E13" s="65"/>
      <c r="F13" s="69"/>
      <c r="H13" s="69"/>
      <c r="AB13" s="22"/>
      <c r="AC13" s="22"/>
    </row>
    <row r="14" spans="5:29">
      <c r="E14" s="65"/>
      <c r="F14" s="69"/>
      <c r="H14" s="69"/>
      <c r="AB14" s="22"/>
      <c r="AC14" s="22"/>
    </row>
    <row r="15" spans="2:29">
      <c r="B15" s="5"/>
      <c r="E15" s="65"/>
      <c r="F15" s="69"/>
      <c r="H15" s="69"/>
      <c r="L15" s="75"/>
      <c r="AB15" s="22"/>
      <c r="AC15" s="22"/>
    </row>
    <row r="16" spans="5:29">
      <c r="E16" s="65"/>
      <c r="F16" s="69"/>
      <c r="H16" s="69"/>
      <c r="AB16" s="22"/>
      <c r="AC16" s="22"/>
    </row>
    <row r="17" spans="5:29">
      <c r="E17" s="65"/>
      <c r="F17" s="69"/>
      <c r="H17" s="69"/>
      <c r="AB17" s="22"/>
      <c r="AC17" s="22"/>
    </row>
    <row r="18" spans="5:29">
      <c r="E18" s="65"/>
      <c r="F18" s="69"/>
      <c r="H18" s="69"/>
      <c r="AB18" s="22"/>
      <c r="AC18" s="22"/>
    </row>
    <row r="19" spans="5:29">
      <c r="E19" s="65"/>
      <c r="F19" s="69"/>
      <c r="H19" s="69"/>
      <c r="AB19" s="22"/>
      <c r="AC19" s="22"/>
    </row>
    <row r="20" spans="5:29">
      <c r="E20" s="65"/>
      <c r="F20" s="69"/>
      <c r="H20" s="69"/>
      <c r="AB20" s="22"/>
      <c r="AC20" s="22"/>
    </row>
    <row r="21" spans="5:29">
      <c r="E21" s="65"/>
      <c r="F21" s="69"/>
      <c r="H21" s="69"/>
      <c r="AB21" s="22"/>
      <c r="AC21" s="22"/>
    </row>
    <row r="22" spans="5:29">
      <c r="E22" s="65"/>
      <c r="F22" s="69"/>
      <c r="H22" s="69"/>
      <c r="AB22" s="22"/>
      <c r="AC22" s="22"/>
    </row>
    <row r="23" spans="5:29">
      <c r="E23" s="65"/>
      <c r="F23" s="69"/>
      <c r="H23" s="69"/>
      <c r="AB23" s="22"/>
      <c r="AC23" s="22"/>
    </row>
    <row r="24" spans="5:29">
      <c r="E24" s="65"/>
      <c r="F24" s="69"/>
      <c r="H24" s="69"/>
      <c r="AB24" s="22"/>
      <c r="AC24" s="22"/>
    </row>
    <row r="25" spans="5:29">
      <c r="E25" s="65"/>
      <c r="F25" s="69"/>
      <c r="H25" s="69"/>
      <c r="AB25" s="22"/>
      <c r="AC25" s="22"/>
    </row>
    <row r="26" spans="5:29">
      <c r="E26" s="65"/>
      <c r="F26" s="69"/>
      <c r="H26" s="69"/>
      <c r="AB26" s="22"/>
      <c r="AC26" s="22"/>
    </row>
    <row r="27" spans="5:29">
      <c r="E27" s="65"/>
      <c r="F27" s="69"/>
      <c r="H27" s="69"/>
      <c r="AB27" s="22"/>
      <c r="AC27" s="22"/>
    </row>
    <row r="28" spans="5:29">
      <c r="E28" s="65"/>
      <c r="F28" s="69"/>
      <c r="H28" s="69"/>
      <c r="AB28" s="22"/>
      <c r="AC28" s="22"/>
    </row>
    <row r="29" spans="5:29">
      <c r="E29" s="65"/>
      <c r="F29" s="69"/>
      <c r="H29" s="69"/>
      <c r="AB29" s="22"/>
      <c r="AC29" s="22"/>
    </row>
    <row r="30" spans="5:29">
      <c r="E30" s="65"/>
      <c r="F30" s="69"/>
      <c r="H30" s="69"/>
      <c r="AB30" s="22"/>
      <c r="AC30" s="22"/>
    </row>
    <row r="31" spans="5:29">
      <c r="E31" s="65"/>
      <c r="F31" s="69"/>
      <c r="H31" s="69"/>
      <c r="AB31" s="22"/>
      <c r="AC31" s="22"/>
    </row>
    <row r="32" spans="5:29">
      <c r="E32" s="65"/>
      <c r="F32" s="69"/>
      <c r="H32" s="69"/>
      <c r="AB32" s="22"/>
      <c r="AC32" s="22"/>
    </row>
    <row r="33" spans="5:29">
      <c r="E33" s="65"/>
      <c r="F33" s="69"/>
      <c r="H33" s="69"/>
      <c r="AB33" s="22"/>
      <c r="AC33" s="22"/>
    </row>
    <row r="34" spans="5:29">
      <c r="E34" s="65"/>
      <c r="F34" s="69"/>
      <c r="H34" s="69"/>
      <c r="AB34" s="22"/>
      <c r="AC34" s="22"/>
    </row>
    <row r="35" spans="5:29">
      <c r="E35" s="65"/>
      <c r="F35" s="69"/>
      <c r="H35" s="69"/>
      <c r="AB35" s="22"/>
      <c r="AC35" s="22"/>
    </row>
    <row r="36" spans="5:29">
      <c r="E36" s="65"/>
      <c r="F36" s="69"/>
      <c r="H36" s="69"/>
      <c r="AB36" s="22"/>
      <c r="AC36" s="22"/>
    </row>
    <row r="37" spans="5:29">
      <c r="E37" s="65"/>
      <c r="F37" s="69"/>
      <c r="H37" s="69"/>
      <c r="AB37" s="22"/>
      <c r="AC37" s="22"/>
    </row>
    <row r="38" spans="5:29">
      <c r="E38" s="65"/>
      <c r="F38" s="69"/>
      <c r="H38" s="69"/>
      <c r="AB38" s="22"/>
      <c r="AC38" s="22"/>
    </row>
    <row r="39" spans="5:29">
      <c r="E39" s="65"/>
      <c r="F39" s="69"/>
      <c r="H39" s="69"/>
      <c r="AB39" s="22"/>
      <c r="AC39" s="22"/>
    </row>
    <row r="40" spans="5:29">
      <c r="E40" s="65"/>
      <c r="F40" s="69"/>
      <c r="H40" s="69"/>
      <c r="AB40" s="22"/>
      <c r="AC40" s="22"/>
    </row>
    <row r="41" spans="5:29">
      <c r="E41" s="65"/>
      <c r="F41" s="69"/>
      <c r="H41" s="69"/>
      <c r="AB41" s="22"/>
      <c r="AC41" s="22"/>
    </row>
    <row r="42" spans="5:29">
      <c r="E42" s="65"/>
      <c r="F42" s="69"/>
      <c r="H42" s="69"/>
      <c r="AB42" s="22"/>
      <c r="AC42" s="22"/>
    </row>
    <row r="43" spans="5:29">
      <c r="E43" s="65"/>
      <c r="F43" s="69"/>
      <c r="H43" s="69"/>
      <c r="AB43" s="22"/>
      <c r="AC43" s="22"/>
    </row>
    <row r="44" spans="5:29">
      <c r="E44" s="65"/>
      <c r="F44" s="69"/>
      <c r="H44" s="69"/>
      <c r="AB44" s="22"/>
      <c r="AC44" s="22"/>
    </row>
    <row r="45" spans="5:29">
      <c r="E45" s="65"/>
      <c r="F45" s="69"/>
      <c r="H45" s="69"/>
      <c r="AB45" s="22"/>
      <c r="AC45" s="22"/>
    </row>
    <row r="46" spans="5:29">
      <c r="E46" s="65"/>
      <c r="F46" s="69"/>
      <c r="H46" s="69"/>
      <c r="AB46" s="22"/>
      <c r="AC46" s="22"/>
    </row>
    <row r="47" spans="5:28">
      <c r="E47" s="65"/>
      <c r="F47" s="69"/>
      <c r="AB47" s="22"/>
    </row>
    <row r="48" spans="5:28">
      <c r="E48" s="65"/>
      <c r="F48" s="69"/>
      <c r="AB48" s="22"/>
    </row>
    <row r="49" spans="5:28">
      <c r="E49" s="65"/>
      <c r="F49" s="69"/>
      <c r="AB49" s="22"/>
    </row>
    <row r="50" spans="5:6">
      <c r="E50" s="65"/>
      <c r="F50" s="69"/>
    </row>
    <row r="51" spans="5:5">
      <c r="E51" s="65"/>
    </row>
    <row r="52" spans="5:5">
      <c r="E52" s="65"/>
    </row>
    <row r="53" spans="5:5">
      <c r="E53" s="65"/>
    </row>
    <row r="54" spans="5:5">
      <c r="E54" s="65"/>
    </row>
    <row r="55" spans="5:5">
      <c r="E55" s="65"/>
    </row>
    <row r="56" spans="5:5">
      <c r="E56" s="65"/>
    </row>
    <row r="57" spans="5:5">
      <c r="E57" s="65"/>
    </row>
    <row r="58" spans="5:5">
      <c r="E58" s="65"/>
    </row>
    <row r="59" spans="5:5">
      <c r="E59" s="65"/>
    </row>
    <row r="60" spans="5:5">
      <c r="E60" s="65"/>
    </row>
    <row r="61" spans="5:5">
      <c r="E61" s="65"/>
    </row>
    <row r="62" spans="5:5">
      <c r="E62" s="65"/>
    </row>
    <row r="63" spans="5:5">
      <c r="E63" s="65"/>
    </row>
    <row r="64" spans="5:5">
      <c r="E64" s="65"/>
    </row>
    <row r="65" spans="5:5">
      <c r="E65" s="65"/>
    </row>
    <row r="66" spans="5:5">
      <c r="E66" s="65"/>
    </row>
    <row r="67" spans="5:5">
      <c r="E67" s="65"/>
    </row>
    <row r="68" spans="5:5">
      <c r="E68" s="65"/>
    </row>
  </sheetData>
  <sheetProtection formatCells="0" formatColumns="0" formatRows="0" insertRows="0" insertColumns="0" insertHyperlinks="0" deleteColumns="0" deleteRows="0" sort="0" autoFilter="0" pivotTables="0"/>
  <mergeCells count="29">
    <mergeCell ref="G1:J1"/>
    <mergeCell ref="L1:N1"/>
    <mergeCell ref="O1:AA1"/>
    <mergeCell ref="AE1:AJ1"/>
    <mergeCell ref="AK1:AP1"/>
    <mergeCell ref="BC1:BH1"/>
    <mergeCell ref="G2:J2"/>
    <mergeCell ref="M2:N2"/>
    <mergeCell ref="O2:AA2"/>
    <mergeCell ref="AE2:AJ2"/>
    <mergeCell ref="AK2:AP2"/>
    <mergeCell ref="BC2:BH2"/>
    <mergeCell ref="O3:T3"/>
    <mergeCell ref="Y3:AA3"/>
    <mergeCell ref="AE3:AJ3"/>
    <mergeCell ref="AK3:AP3"/>
    <mergeCell ref="BC3:BH3"/>
    <mergeCell ref="Y4:AA4"/>
    <mergeCell ref="AH4:AJ4"/>
    <mergeCell ref="AN4:AP4"/>
    <mergeCell ref="M5:N5"/>
    <mergeCell ref="Y5:AA5"/>
    <mergeCell ref="AH5:AJ5"/>
    <mergeCell ref="AN5:AP5"/>
    <mergeCell ref="AT5:AV5"/>
    <mergeCell ref="AZ5:BB5"/>
    <mergeCell ref="E1:E5"/>
    <mergeCell ref="AQ1:BB4"/>
    <mergeCell ref="AB1:AD5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68"/>
  <sheetViews>
    <sheetView workbookViewId="0">
      <selection activeCell="A1" sqref="A1"/>
    </sheetView>
  </sheetViews>
  <sheetFormatPr defaultColWidth="9" defaultRowHeight="14.25"/>
  <cols>
    <col min="3" max="3" width="19.625" customWidth="1"/>
    <col min="4" max="4" width="12.6666666666667" customWidth="1"/>
    <col min="11" max="11" width="12.6666666666667" customWidth="1"/>
    <col min="12" max="12" width="15.7916666666667" customWidth="1"/>
    <col min="14" max="14" width="9" style="87"/>
    <col min="16" max="16" width="17.875" customWidth="1"/>
  </cols>
  <sheetData>
    <row r="1" spans="1:60">
      <c r="A1" s="63" t="s">
        <v>0</v>
      </c>
      <c r="B1" s="64" t="s">
        <v>172</v>
      </c>
      <c r="C1" s="64" t="s">
        <v>72</v>
      </c>
      <c r="D1" s="64" t="s">
        <v>517</v>
      </c>
      <c r="E1" s="64" t="s">
        <v>518</v>
      </c>
      <c r="F1" s="63" t="s">
        <v>519</v>
      </c>
      <c r="G1" s="63" t="s">
        <v>520</v>
      </c>
      <c r="H1" s="63"/>
      <c r="I1" s="63"/>
      <c r="J1" s="63"/>
      <c r="K1" s="63" t="s">
        <v>521</v>
      </c>
      <c r="L1" s="63" t="s">
        <v>522</v>
      </c>
      <c r="M1" s="71"/>
      <c r="N1" s="91"/>
      <c r="O1" s="76" t="s">
        <v>499</v>
      </c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 t="s">
        <v>500</v>
      </c>
      <c r="AC1" s="63"/>
      <c r="AD1" s="63"/>
      <c r="AE1" s="63" t="s">
        <v>523</v>
      </c>
      <c r="AF1" s="63"/>
      <c r="AG1" s="63"/>
      <c r="AH1" s="63"/>
      <c r="AI1" s="63"/>
      <c r="AJ1" s="63"/>
      <c r="AK1" s="63" t="s">
        <v>524</v>
      </c>
      <c r="AL1" s="63"/>
      <c r="AM1" s="63"/>
      <c r="AN1" s="63"/>
      <c r="AO1" s="63"/>
      <c r="AP1" s="63"/>
      <c r="AQ1" s="85" t="s">
        <v>525</v>
      </c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63" t="s">
        <v>526</v>
      </c>
      <c r="BD1" s="63"/>
      <c r="BE1" s="63"/>
      <c r="BF1" s="63"/>
      <c r="BG1" s="63"/>
      <c r="BH1" s="63"/>
    </row>
    <row r="2" spans="1:60">
      <c r="A2" s="63" t="s">
        <v>392</v>
      </c>
      <c r="B2" s="64" t="s">
        <v>85</v>
      </c>
      <c r="C2" s="64" t="s">
        <v>393</v>
      </c>
      <c r="D2" s="64" t="s">
        <v>527</v>
      </c>
      <c r="E2" s="64"/>
      <c r="F2" s="63" t="s">
        <v>85</v>
      </c>
      <c r="G2" s="63" t="s">
        <v>528</v>
      </c>
      <c r="H2" s="63"/>
      <c r="I2" s="63"/>
      <c r="J2" s="63"/>
      <c r="K2" s="63" t="s">
        <v>85</v>
      </c>
      <c r="L2" s="63" t="s">
        <v>136</v>
      </c>
      <c r="M2" s="71"/>
      <c r="N2" s="91"/>
      <c r="O2" s="76" t="s">
        <v>95</v>
      </c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 t="s">
        <v>124</v>
      </c>
      <c r="AF2" s="63"/>
      <c r="AG2" s="63"/>
      <c r="AH2" s="63"/>
      <c r="AI2" s="63"/>
      <c r="AJ2" s="63"/>
      <c r="AK2" s="63" t="s">
        <v>124</v>
      </c>
      <c r="AL2" s="63"/>
      <c r="AM2" s="63"/>
      <c r="AN2" s="63"/>
      <c r="AO2" s="63"/>
      <c r="AP2" s="63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63" t="s">
        <v>529</v>
      </c>
      <c r="BD2" s="63"/>
      <c r="BE2" s="63"/>
      <c r="BF2" s="63"/>
      <c r="BG2" s="63"/>
      <c r="BH2" s="63"/>
    </row>
    <row r="3" spans="1:60">
      <c r="A3" s="63" t="s">
        <v>392</v>
      </c>
      <c r="B3" s="64"/>
      <c r="C3" s="64"/>
      <c r="D3" s="64"/>
      <c r="E3" s="64"/>
      <c r="F3" s="63"/>
      <c r="G3" s="63"/>
      <c r="H3" s="63"/>
      <c r="I3" s="63"/>
      <c r="J3" s="63"/>
      <c r="K3" s="63"/>
      <c r="L3" s="63" t="s">
        <v>530</v>
      </c>
      <c r="M3" s="71"/>
      <c r="N3" s="91"/>
      <c r="O3" s="76" t="s">
        <v>97</v>
      </c>
      <c r="P3" s="63"/>
      <c r="Q3" s="63"/>
      <c r="R3" s="63"/>
      <c r="S3" s="63"/>
      <c r="T3" s="63"/>
      <c r="U3" s="63" t="s">
        <v>100</v>
      </c>
      <c r="V3" s="63" t="s">
        <v>103</v>
      </c>
      <c r="W3" s="63" t="s">
        <v>105</v>
      </c>
      <c r="X3" s="63" t="s">
        <v>107</v>
      </c>
      <c r="Y3" s="63" t="s">
        <v>109</v>
      </c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63"/>
      <c r="BD3" s="63"/>
      <c r="BE3" s="63"/>
      <c r="BF3" s="63"/>
      <c r="BG3" s="63"/>
      <c r="BH3" s="63"/>
    </row>
    <row r="4" spans="1:60">
      <c r="A4" s="63" t="s">
        <v>392</v>
      </c>
      <c r="B4" s="64"/>
      <c r="C4" s="64"/>
      <c r="D4" s="64"/>
      <c r="E4" s="64"/>
      <c r="F4" s="63"/>
      <c r="G4" s="63"/>
      <c r="H4" s="63"/>
      <c r="I4" s="63"/>
      <c r="J4" s="63"/>
      <c r="K4" s="63"/>
      <c r="L4" s="63"/>
      <c r="M4" s="71"/>
      <c r="N4" s="91"/>
      <c r="O4" s="76" t="s">
        <v>190</v>
      </c>
      <c r="P4" s="63" t="s">
        <v>191</v>
      </c>
      <c r="Q4" s="63" t="s">
        <v>192</v>
      </c>
      <c r="R4" s="63" t="s">
        <v>193</v>
      </c>
      <c r="S4" s="63" t="s">
        <v>194</v>
      </c>
      <c r="T4" s="63" t="s">
        <v>195</v>
      </c>
      <c r="U4" s="63"/>
      <c r="V4" s="63"/>
      <c r="W4" s="63"/>
      <c r="X4" s="63"/>
      <c r="Y4" s="63"/>
      <c r="Z4" s="63"/>
      <c r="AA4" s="63"/>
      <c r="AB4" s="63"/>
      <c r="AC4" s="63"/>
      <c r="AD4" s="63"/>
      <c r="AE4" s="63" t="s">
        <v>531</v>
      </c>
      <c r="AF4" s="63" t="s">
        <v>532</v>
      </c>
      <c r="AG4" s="63" t="s">
        <v>533</v>
      </c>
      <c r="AH4" s="63" t="s">
        <v>534</v>
      </c>
      <c r="AI4" s="63"/>
      <c r="AJ4" s="63"/>
      <c r="AK4" s="63" t="s">
        <v>531</v>
      </c>
      <c r="AL4" s="63" t="s">
        <v>532</v>
      </c>
      <c r="AM4" s="63" t="s">
        <v>533</v>
      </c>
      <c r="AN4" s="63" t="s">
        <v>534</v>
      </c>
      <c r="AO4" s="63"/>
      <c r="AP4" s="63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63"/>
      <c r="BD4" s="63"/>
      <c r="BE4" s="63"/>
      <c r="BF4" s="63"/>
      <c r="BG4" s="63"/>
      <c r="BH4" s="63"/>
    </row>
    <row r="5" spans="1:60">
      <c r="A5" s="63" t="s">
        <v>12</v>
      </c>
      <c r="B5" s="64" t="s">
        <v>493</v>
      </c>
      <c r="C5" s="64" t="s">
        <v>501</v>
      </c>
      <c r="D5" s="64" t="s">
        <v>535</v>
      </c>
      <c r="E5" s="64"/>
      <c r="F5" s="63" t="s">
        <v>536</v>
      </c>
      <c r="G5" s="63" t="s">
        <v>197</v>
      </c>
      <c r="H5" s="63" t="s">
        <v>537</v>
      </c>
      <c r="I5" s="63" t="s">
        <v>197</v>
      </c>
      <c r="J5" s="63" t="s">
        <v>537</v>
      </c>
      <c r="K5" s="63" t="s">
        <v>538</v>
      </c>
      <c r="L5" s="63" t="s">
        <v>539</v>
      </c>
      <c r="M5" s="71" t="s">
        <v>540</v>
      </c>
      <c r="N5" s="91"/>
      <c r="O5" s="76" t="s">
        <v>113</v>
      </c>
      <c r="P5" s="63" t="s">
        <v>115</v>
      </c>
      <c r="Q5" s="63" t="s">
        <v>117</v>
      </c>
      <c r="R5" s="63" t="s">
        <v>119</v>
      </c>
      <c r="S5" s="63" t="s">
        <v>121</v>
      </c>
      <c r="T5" s="63" t="s">
        <v>123</v>
      </c>
      <c r="U5" s="63" t="s">
        <v>102</v>
      </c>
      <c r="V5" s="63" t="s">
        <v>104</v>
      </c>
      <c r="W5" s="63" t="s">
        <v>106</v>
      </c>
      <c r="X5" s="63" t="s">
        <v>108</v>
      </c>
      <c r="Y5" s="63" t="s">
        <v>505</v>
      </c>
      <c r="Z5" s="63"/>
      <c r="AA5" s="63"/>
      <c r="AB5" s="63"/>
      <c r="AC5" s="63"/>
      <c r="AD5" s="63"/>
      <c r="AE5" s="63" t="s">
        <v>541</v>
      </c>
      <c r="AF5" s="63" t="s">
        <v>542</v>
      </c>
      <c r="AG5" s="63" t="s">
        <v>543</v>
      </c>
      <c r="AH5" s="63" t="s">
        <v>135</v>
      </c>
      <c r="AI5" s="63"/>
      <c r="AJ5" s="63"/>
      <c r="AK5" s="63" t="s">
        <v>541</v>
      </c>
      <c r="AL5" s="63" t="s">
        <v>542</v>
      </c>
      <c r="AM5" s="63" t="s">
        <v>543</v>
      </c>
      <c r="AN5" s="63" t="s">
        <v>135</v>
      </c>
      <c r="AO5" s="63"/>
      <c r="AP5" s="63"/>
      <c r="AQ5" s="85" t="s">
        <v>541</v>
      </c>
      <c r="AR5" s="85" t="s">
        <v>542</v>
      </c>
      <c r="AS5" s="85" t="s">
        <v>543</v>
      </c>
      <c r="AT5" s="85" t="s">
        <v>135</v>
      </c>
      <c r="AU5" s="85"/>
      <c r="AV5" s="85"/>
      <c r="AW5" s="85" t="s">
        <v>541</v>
      </c>
      <c r="AX5" s="85" t="s">
        <v>542</v>
      </c>
      <c r="AY5" s="85" t="s">
        <v>543</v>
      </c>
      <c r="AZ5" s="85" t="s">
        <v>135</v>
      </c>
      <c r="BA5" s="85"/>
      <c r="BB5" s="85"/>
      <c r="BC5" s="63" t="s">
        <v>544</v>
      </c>
      <c r="BD5" s="63" t="s">
        <v>545</v>
      </c>
      <c r="BE5" s="63" t="s">
        <v>544</v>
      </c>
      <c r="BF5" s="63" t="s">
        <v>545</v>
      </c>
      <c r="BG5" s="63" t="s">
        <v>544</v>
      </c>
      <c r="BH5" s="63" t="s">
        <v>545</v>
      </c>
    </row>
    <row r="6" spans="1:54">
      <c r="A6" s="5"/>
      <c r="B6" s="65">
        <v>60001</v>
      </c>
      <c r="C6" s="88" t="s">
        <v>552</v>
      </c>
      <c r="D6" s="65">
        <v>30001</v>
      </c>
      <c r="E6" s="65" t="str">
        <f>IF(D6="","",IFERROR(VLOOKUP(D6,角色_种族_友方!B:C,2,FALSE),"ERROR"))</f>
        <v>人类</v>
      </c>
      <c r="F6" s="66">
        <v>1</v>
      </c>
      <c r="G6" s="90" t="s">
        <v>207</v>
      </c>
      <c r="H6" s="67">
        <v>1</v>
      </c>
      <c r="I6" s="67"/>
      <c r="J6" s="72"/>
      <c r="K6" s="72">
        <v>0</v>
      </c>
      <c r="L6" s="73" t="s">
        <v>144</v>
      </c>
      <c r="M6" s="77"/>
      <c r="N6" s="72"/>
      <c r="O6" s="92">
        <v>10</v>
      </c>
      <c r="P6" s="93">
        <v>10</v>
      </c>
      <c r="Q6" s="93">
        <v>10</v>
      </c>
      <c r="R6" s="93">
        <v>10</v>
      </c>
      <c r="S6" s="93">
        <v>10</v>
      </c>
      <c r="T6" s="93">
        <v>10</v>
      </c>
      <c r="U6" s="22" t="s">
        <v>507</v>
      </c>
      <c r="V6" s="22">
        <v>10</v>
      </c>
      <c r="W6" s="22">
        <v>6</v>
      </c>
      <c r="X6" s="22">
        <v>0</v>
      </c>
      <c r="Y6" s="22"/>
      <c r="Z6" s="22"/>
      <c r="AA6" s="22"/>
      <c r="AB6" s="22" t="str">
        <f>IF(Y6="","",IFERROR(VLOOKUP(Y6,角色_能力!B:C,2,FALSE),"ERROR"))</f>
        <v/>
      </c>
      <c r="AC6" s="22" t="str">
        <f>IF(Z6="","",IFERROR(VLOOKUP(Z6,角色_能力!B:C,2,FALSE),"ERROR"))</f>
        <v/>
      </c>
      <c r="AD6" s="22"/>
      <c r="AE6" s="21">
        <v>40601</v>
      </c>
      <c r="AF6" s="21">
        <v>0</v>
      </c>
      <c r="AG6" s="21">
        <v>0</v>
      </c>
      <c r="AH6" s="21"/>
      <c r="AI6" s="21"/>
      <c r="AJ6" s="21"/>
      <c r="AK6" s="21">
        <v>0</v>
      </c>
      <c r="AL6" s="21">
        <v>0</v>
      </c>
      <c r="AM6" s="21">
        <v>0</v>
      </c>
      <c r="AN6" s="21"/>
      <c r="AO6" s="21"/>
      <c r="AP6" s="21"/>
      <c r="AQ6" s="22" t="str">
        <f>IF(AE6=0,"无",IFERROR(VLOOKUP(AE6,角色_装备!B:C,2,FALSE),"ERROR"))</f>
        <v>短棒</v>
      </c>
      <c r="AR6" s="22" t="str">
        <f>IF(AF6=0,"无",IFERROR(VLOOKUP(AF6,角色_装备!B:C,2,FALSE),"ERROR"))</f>
        <v>无</v>
      </c>
      <c r="AS6" s="22" t="str">
        <f>IF(AG6=0,"无",IFERROR(VLOOKUP(AG6,角色_装备!B:C,2,FALSE),"ERROR"))</f>
        <v>无</v>
      </c>
      <c r="AT6" s="22"/>
      <c r="AU6" s="22"/>
      <c r="AV6" s="22"/>
      <c r="AW6" s="22" t="str">
        <f>IF(AK6=0,"无",IFERROR(VLOOKUP(AK6,角色_装备!B:C,2,FALSE),"ERROR"))</f>
        <v>无</v>
      </c>
      <c r="AX6" s="22" t="str">
        <f>IF(AL6=0,"无",IFERROR(VLOOKUP(AL6,角色_装备!B:C,2,FALSE),"ERROR"))</f>
        <v>无</v>
      </c>
      <c r="AY6" s="22" t="str">
        <f>IF(AM6=0,"无",IFERROR(VLOOKUP(AM6,角色_装备!B:C,2,FALSE),"ERROR"))</f>
        <v>无</v>
      </c>
      <c r="AZ6" s="22"/>
      <c r="BA6" s="22"/>
      <c r="BB6" s="22"/>
    </row>
    <row r="7" spans="1:54">
      <c r="A7" s="5"/>
      <c r="B7" s="65">
        <v>60002</v>
      </c>
      <c r="C7" s="89" t="s">
        <v>553</v>
      </c>
      <c r="D7" s="31">
        <v>30001</v>
      </c>
      <c r="E7" s="88" t="s">
        <v>370</v>
      </c>
      <c r="F7" s="69">
        <v>1</v>
      </c>
      <c r="G7" s="68" t="s">
        <v>207</v>
      </c>
      <c r="H7" s="69">
        <v>1</v>
      </c>
      <c r="I7" s="70"/>
      <c r="J7" s="74"/>
      <c r="K7" s="74"/>
      <c r="L7" s="75" t="s">
        <v>144</v>
      </c>
      <c r="M7" s="81"/>
      <c r="N7" s="94"/>
      <c r="O7" s="79">
        <v>12</v>
      </c>
      <c r="P7" s="80">
        <v>10</v>
      </c>
      <c r="Q7" s="80">
        <v>10</v>
      </c>
      <c r="R7" s="80">
        <v>10</v>
      </c>
      <c r="S7" s="80">
        <v>10</v>
      </c>
      <c r="T7" s="80">
        <v>10</v>
      </c>
      <c r="U7" s="22" t="s">
        <v>507</v>
      </c>
      <c r="V7" s="17">
        <v>16</v>
      </c>
      <c r="W7" s="17">
        <v>6</v>
      </c>
      <c r="X7" s="17">
        <v>0</v>
      </c>
      <c r="Y7" s="17"/>
      <c r="Z7" s="17"/>
      <c r="AA7" s="17"/>
      <c r="AB7" s="22"/>
      <c r="AC7" s="22"/>
      <c r="AD7" s="17"/>
      <c r="AE7" s="16">
        <v>41301</v>
      </c>
      <c r="AF7" s="16">
        <v>40501</v>
      </c>
      <c r="AG7" s="16">
        <v>40303</v>
      </c>
      <c r="AH7" s="16"/>
      <c r="AI7" s="16"/>
      <c r="AJ7" s="16"/>
      <c r="AK7" s="16">
        <v>0</v>
      </c>
      <c r="AL7" s="16">
        <v>0</v>
      </c>
      <c r="AM7" s="16">
        <v>0</v>
      </c>
      <c r="AN7" s="16"/>
      <c r="AO7" s="16"/>
      <c r="AP7" s="16"/>
      <c r="AQ7" s="22" t="str">
        <f>IF(AE7=0,"无",IFERROR(VLOOKUP(AE7,角色_装备!B:C,2,FALSE),"ERROR"))</f>
        <v>矛</v>
      </c>
      <c r="AR7" s="22" t="str">
        <f>IF(AF7=0,"无",IFERROR(VLOOKUP(AF7,角色_装备!B:C,2,FALSE),"ERROR"))</f>
        <v>盾牌</v>
      </c>
      <c r="AS7" s="22" t="str">
        <f>IF(AG7=0,"无",IFERROR(VLOOKUP(AG7,角色_装备!B:C,2,FALSE),"ERROR"))</f>
        <v>鳞甲</v>
      </c>
      <c r="AT7" s="17"/>
      <c r="AU7" s="17"/>
      <c r="AV7" s="17"/>
      <c r="AW7" s="22" t="str">
        <f>IF(AK7=0,"无",IFERROR(VLOOKUP(AK7,角色_装备!B:C,2,FALSE),"ERROR"))</f>
        <v>无</v>
      </c>
      <c r="AX7" s="22" t="str">
        <f>IF(AL7=0,"无",IFERROR(VLOOKUP(AL7,角色_装备!B:C,2,FALSE),"ERROR"))</f>
        <v>无</v>
      </c>
      <c r="AY7" s="22" t="str">
        <f>IF(AM7=0,"无",IFERROR(VLOOKUP(AM7,角色_装备!B:C,2,FALSE),"ERROR"))</f>
        <v>无</v>
      </c>
      <c r="AZ7" s="17"/>
      <c r="BA7" s="17"/>
      <c r="BB7" s="17"/>
    </row>
    <row r="8" spans="1:54">
      <c r="A8" s="5"/>
      <c r="B8" s="65">
        <v>60003</v>
      </c>
      <c r="C8" s="89" t="s">
        <v>554</v>
      </c>
      <c r="D8" s="31">
        <v>30001</v>
      </c>
      <c r="E8" s="88" t="s">
        <v>370</v>
      </c>
      <c r="F8" s="69">
        <v>1</v>
      </c>
      <c r="G8" s="68" t="s">
        <v>207</v>
      </c>
      <c r="H8" s="69">
        <v>1</v>
      </c>
      <c r="I8" s="70"/>
      <c r="J8" s="74"/>
      <c r="K8" s="74"/>
      <c r="L8" s="75" t="s">
        <v>144</v>
      </c>
      <c r="M8" s="81"/>
      <c r="N8" s="94"/>
      <c r="O8" s="79">
        <v>10</v>
      </c>
      <c r="P8" s="80">
        <v>12</v>
      </c>
      <c r="Q8" s="80">
        <v>10</v>
      </c>
      <c r="R8" s="80">
        <v>10</v>
      </c>
      <c r="S8" s="80">
        <v>10</v>
      </c>
      <c r="T8" s="80">
        <v>10</v>
      </c>
      <c r="U8" s="22" t="s">
        <v>507</v>
      </c>
      <c r="V8" s="17">
        <v>13</v>
      </c>
      <c r="W8" s="17">
        <v>6</v>
      </c>
      <c r="X8" s="17">
        <v>0</v>
      </c>
      <c r="Y8" s="17"/>
      <c r="Z8" s="17"/>
      <c r="AA8" s="17"/>
      <c r="AB8" s="22"/>
      <c r="AC8" s="22"/>
      <c r="AD8" s="17"/>
      <c r="AE8" s="16">
        <v>42901</v>
      </c>
      <c r="AF8" s="16">
        <v>0</v>
      </c>
      <c r="AG8" s="16">
        <v>40301</v>
      </c>
      <c r="AH8" s="16"/>
      <c r="AI8" s="16"/>
      <c r="AJ8" s="16"/>
      <c r="AK8" s="16">
        <v>40701</v>
      </c>
      <c r="AL8" s="16">
        <v>0</v>
      </c>
      <c r="AM8" s="16">
        <v>0</v>
      </c>
      <c r="AN8" s="16"/>
      <c r="AO8" s="16"/>
      <c r="AP8" s="16"/>
      <c r="AQ8" s="22" t="str">
        <f>IF(AE8=0,"无",IFERROR(VLOOKUP(AE8,角色_装备!B:C,2,FALSE),"ERROR"))</f>
        <v>重弩</v>
      </c>
      <c r="AR8" s="22" t="str">
        <f>IF(AF8=0,"无",IFERROR(VLOOKUP(AF8,角色_装备!B:C,2,FALSE),"ERROR"))</f>
        <v>无</v>
      </c>
      <c r="AS8" s="22" t="str">
        <f>IF(AG8=0,"无",IFERROR(VLOOKUP(AG8,角色_装备!B:C,2,FALSE),"ERROR"))</f>
        <v>兽皮甲</v>
      </c>
      <c r="AT8" s="17"/>
      <c r="AU8" s="17"/>
      <c r="AV8" s="17"/>
      <c r="AW8" s="22" t="str">
        <f>IF(AK8=0,"无",IFERROR(VLOOKUP(AK8,角色_装备!B:C,2,FALSE),"ERROR"))</f>
        <v>匕首</v>
      </c>
      <c r="AX8" s="22" t="str">
        <f>IF(AL8=0,"无",IFERROR(VLOOKUP(AL8,角色_装备!B:C,2,FALSE),"ERROR"))</f>
        <v>无</v>
      </c>
      <c r="AY8" s="22" t="str">
        <f>IF(AM8=0,"无",IFERROR(VLOOKUP(AM8,角色_装备!B:C,2,FALSE),"ERROR"))</f>
        <v>无</v>
      </c>
      <c r="AZ8" s="17"/>
      <c r="BA8" s="17"/>
      <c r="BB8" s="17"/>
    </row>
    <row r="9" spans="1:54">
      <c r="A9" s="5"/>
      <c r="B9" s="65">
        <v>60004</v>
      </c>
      <c r="C9" s="89" t="s">
        <v>555</v>
      </c>
      <c r="D9" s="31">
        <v>30002</v>
      </c>
      <c r="E9" s="88" t="s">
        <v>508</v>
      </c>
      <c r="F9" s="69">
        <v>1</v>
      </c>
      <c r="G9" s="68" t="s">
        <v>207</v>
      </c>
      <c r="H9" s="69">
        <v>1</v>
      </c>
      <c r="I9" s="70"/>
      <c r="J9" s="74"/>
      <c r="K9" s="74"/>
      <c r="L9" s="75" t="s">
        <v>144</v>
      </c>
      <c r="M9" s="81"/>
      <c r="N9" s="94"/>
      <c r="O9" s="79">
        <v>12</v>
      </c>
      <c r="P9" s="80">
        <v>8</v>
      </c>
      <c r="Q9" s="80">
        <v>14</v>
      </c>
      <c r="R9" s="80">
        <v>10</v>
      </c>
      <c r="S9" s="80">
        <v>10</v>
      </c>
      <c r="T9" s="80">
        <v>12</v>
      </c>
      <c r="U9" s="22" t="s">
        <v>507</v>
      </c>
      <c r="V9" s="17">
        <v>18</v>
      </c>
      <c r="W9" s="17">
        <v>5</v>
      </c>
      <c r="X9" s="17">
        <v>-1</v>
      </c>
      <c r="Y9" s="17"/>
      <c r="Z9" s="17"/>
      <c r="AA9" s="17"/>
      <c r="AB9" s="22"/>
      <c r="AC9" s="22"/>
      <c r="AD9" s="17"/>
      <c r="AE9" s="16">
        <v>42701</v>
      </c>
      <c r="AF9" s="16">
        <v>40501</v>
      </c>
      <c r="AG9" s="16">
        <v>40402</v>
      </c>
      <c r="AH9" s="16"/>
      <c r="AI9" s="16"/>
      <c r="AJ9" s="16"/>
      <c r="AK9" s="16">
        <v>0</v>
      </c>
      <c r="AL9" s="16">
        <v>0</v>
      </c>
      <c r="AM9" s="16">
        <v>0</v>
      </c>
      <c r="AN9" s="16"/>
      <c r="AO9" s="16"/>
      <c r="AP9" s="16"/>
      <c r="AQ9" s="22" t="str">
        <f>IF(AE9=0,"无",IFERROR(VLOOKUP(AE9,角色_装备!B:C,2,FALSE),"ERROR"))</f>
        <v>战锤</v>
      </c>
      <c r="AR9" s="22" t="str">
        <f>IF(AF9=0,"无",IFERROR(VLOOKUP(AF9,角色_装备!B:C,2,FALSE),"ERROR"))</f>
        <v>盾牌</v>
      </c>
      <c r="AS9" s="22" t="str">
        <f>IF(AG9=0,"无",IFERROR(VLOOKUP(AG9,角色_装备!B:C,2,FALSE),"ERROR"))</f>
        <v>链甲</v>
      </c>
      <c r="AT9" s="17"/>
      <c r="AU9" s="17"/>
      <c r="AV9" s="17"/>
      <c r="AW9" s="22" t="str">
        <f>IF(AK9=0,"无",IFERROR(VLOOKUP(AK9,角色_装备!B:C,2,FALSE),"ERROR"))</f>
        <v>无</v>
      </c>
      <c r="AX9" s="22" t="str">
        <f>IF(AL9=0,"无",IFERROR(VLOOKUP(AL9,角色_装备!B:C,2,FALSE),"ERROR"))</f>
        <v>无</v>
      </c>
      <c r="AY9" s="22" t="str">
        <f>IF(AM9=0,"无",IFERROR(VLOOKUP(AM9,角色_装备!B:C,2,FALSE),"ERROR"))</f>
        <v>无</v>
      </c>
      <c r="AZ9" s="17"/>
      <c r="BA9" s="17"/>
      <c r="BB9" s="17"/>
    </row>
    <row r="10" spans="1:54">
      <c r="A10" s="5"/>
      <c r="B10" s="65">
        <v>60005</v>
      </c>
      <c r="C10" s="89" t="s">
        <v>556</v>
      </c>
      <c r="D10" s="31">
        <v>30003</v>
      </c>
      <c r="E10" s="88" t="s">
        <v>511</v>
      </c>
      <c r="F10" s="69">
        <v>1</v>
      </c>
      <c r="G10" s="68" t="s">
        <v>207</v>
      </c>
      <c r="H10" s="69">
        <v>1</v>
      </c>
      <c r="I10" s="70"/>
      <c r="J10" s="74"/>
      <c r="K10" s="74"/>
      <c r="L10" s="75" t="s">
        <v>144</v>
      </c>
      <c r="M10" s="81"/>
      <c r="N10" s="94"/>
      <c r="O10" s="79">
        <v>14</v>
      </c>
      <c r="P10" s="80">
        <v>8</v>
      </c>
      <c r="Q10" s="80">
        <v>16</v>
      </c>
      <c r="R10" s="80">
        <v>10</v>
      </c>
      <c r="S10" s="80">
        <v>8</v>
      </c>
      <c r="T10" s="80">
        <v>10</v>
      </c>
      <c r="U10" s="22" t="s">
        <v>507</v>
      </c>
      <c r="V10" s="17">
        <v>18</v>
      </c>
      <c r="W10" s="17">
        <v>5</v>
      </c>
      <c r="X10" s="17">
        <v>-1</v>
      </c>
      <c r="Y10" s="17">
        <v>50501</v>
      </c>
      <c r="Z10" s="17"/>
      <c r="AA10" s="17"/>
      <c r="AB10" s="22"/>
      <c r="AC10" s="22"/>
      <c r="AD10" s="17"/>
      <c r="AE10" s="16">
        <v>41701</v>
      </c>
      <c r="AF10" s="16">
        <v>40501</v>
      </c>
      <c r="AG10" s="16">
        <v>40402</v>
      </c>
      <c r="AH10" s="16"/>
      <c r="AI10" s="16"/>
      <c r="AJ10" s="16"/>
      <c r="AK10" s="16">
        <v>0</v>
      </c>
      <c r="AL10" s="16">
        <v>0</v>
      </c>
      <c r="AM10" s="16">
        <v>0</v>
      </c>
      <c r="AN10" s="16"/>
      <c r="AO10" s="16"/>
      <c r="AP10" s="16"/>
      <c r="AQ10" s="22" t="str">
        <f>IF(AE10=0,"无",IFERROR(VLOOKUP(AE10,角色_装备!B:C,2,FALSE),"ERROR"))</f>
        <v>战斧</v>
      </c>
      <c r="AR10" s="22" t="str">
        <f>IF(AF10=0,"无",IFERROR(VLOOKUP(AF10,角色_装备!B:C,2,FALSE),"ERROR"))</f>
        <v>盾牌</v>
      </c>
      <c r="AS10" s="22" t="str">
        <f>IF(AG10=0,"无",IFERROR(VLOOKUP(AG10,角色_装备!B:C,2,FALSE),"ERROR"))</f>
        <v>链甲</v>
      </c>
      <c r="AT10" s="17"/>
      <c r="AU10" s="17"/>
      <c r="AV10" s="17"/>
      <c r="AW10" s="22" t="str">
        <f>IF(AK10=0,"无",IFERROR(VLOOKUP(AK10,角色_装备!B:C,2,FALSE),"ERROR"))</f>
        <v>无</v>
      </c>
      <c r="AX10" s="22" t="str">
        <f>IF(AL10=0,"无",IFERROR(VLOOKUP(AL10,角色_装备!B:C,2,FALSE),"ERROR"))</f>
        <v>无</v>
      </c>
      <c r="AY10" s="22" t="str">
        <f>IF(AM10=0,"无",IFERROR(VLOOKUP(AM10,角色_装备!B:C,2,FALSE),"ERROR"))</f>
        <v>无</v>
      </c>
      <c r="AZ10" s="17"/>
      <c r="BA10" s="17"/>
      <c r="BB10" s="17"/>
    </row>
    <row r="11" spans="1:54">
      <c r="A11" s="5"/>
      <c r="B11" s="65">
        <v>60006</v>
      </c>
      <c r="C11" s="89" t="s">
        <v>557</v>
      </c>
      <c r="D11" s="31">
        <v>30003</v>
      </c>
      <c r="E11" s="88" t="s">
        <v>511</v>
      </c>
      <c r="F11" s="69">
        <v>5</v>
      </c>
      <c r="G11" s="68" t="s">
        <v>207</v>
      </c>
      <c r="H11" s="69">
        <v>5</v>
      </c>
      <c r="I11" s="70"/>
      <c r="J11" s="74"/>
      <c r="K11" s="74"/>
      <c r="L11" s="75" t="s">
        <v>144</v>
      </c>
      <c r="M11" s="81"/>
      <c r="N11" s="94"/>
      <c r="O11" s="79">
        <v>16</v>
      </c>
      <c r="P11" s="80">
        <v>10</v>
      </c>
      <c r="Q11" s="80">
        <v>18</v>
      </c>
      <c r="R11" s="80">
        <v>10</v>
      </c>
      <c r="S11" s="80">
        <v>8</v>
      </c>
      <c r="T11" s="80">
        <v>12</v>
      </c>
      <c r="U11" s="22" t="s">
        <v>507</v>
      </c>
      <c r="V11" s="17">
        <v>20</v>
      </c>
      <c r="W11" s="17">
        <v>5</v>
      </c>
      <c r="X11" s="17">
        <v>0</v>
      </c>
      <c r="Y11" s="17">
        <v>50501</v>
      </c>
      <c r="Z11" s="17"/>
      <c r="AA11" s="17"/>
      <c r="AB11" s="22"/>
      <c r="AC11" s="22"/>
      <c r="AD11" s="17"/>
      <c r="AE11" s="16">
        <v>42701</v>
      </c>
      <c r="AF11" s="16">
        <v>40501</v>
      </c>
      <c r="AG11" s="16">
        <v>40404</v>
      </c>
      <c r="AH11" s="16"/>
      <c r="AI11" s="16"/>
      <c r="AJ11" s="16"/>
      <c r="AK11" s="16">
        <v>0</v>
      </c>
      <c r="AL11" s="16">
        <v>0</v>
      </c>
      <c r="AM11" s="16">
        <v>0</v>
      </c>
      <c r="AN11" s="16"/>
      <c r="AO11" s="16"/>
      <c r="AP11" s="16"/>
      <c r="AQ11" s="22" t="str">
        <f>IF(AE11=0,"无",IFERROR(VLOOKUP(AE11,角色_装备!B:C,2,FALSE),"ERROR"))</f>
        <v>战锤</v>
      </c>
      <c r="AR11" s="22" t="str">
        <f>IF(AF11=0,"无",IFERROR(VLOOKUP(AF11,角色_装备!B:C,2,FALSE),"ERROR"))</f>
        <v>盾牌</v>
      </c>
      <c r="AS11" s="22" t="str">
        <f>IF(AG11=0,"无",IFERROR(VLOOKUP(AG11,角色_装备!B:C,2,FALSE),"ERROR"))</f>
        <v>板甲</v>
      </c>
      <c r="AT11" s="17"/>
      <c r="AU11" s="17"/>
      <c r="AV11" s="17"/>
      <c r="AW11" s="22" t="str">
        <f>IF(AK11=0,"无",IFERROR(VLOOKUP(AK11,角色_装备!B:C,2,FALSE),"ERROR"))</f>
        <v>无</v>
      </c>
      <c r="AX11" s="22" t="str">
        <f>IF(AL11=0,"无",IFERROR(VLOOKUP(AL11,角色_装备!B:C,2,FALSE),"ERROR"))</f>
        <v>无</v>
      </c>
      <c r="AY11" s="22" t="str">
        <f>IF(AM11=0,"无",IFERROR(VLOOKUP(AM11,角色_装备!B:C,2,FALSE),"ERROR"))</f>
        <v>无</v>
      </c>
      <c r="AZ11" s="17"/>
      <c r="BA11" s="17"/>
      <c r="BB11" s="17"/>
    </row>
    <row r="12" spans="1:54">
      <c r="A12" s="5"/>
      <c r="B12" s="31"/>
      <c r="C12" s="31"/>
      <c r="D12" s="31"/>
      <c r="E12" s="65" t="str">
        <f>IF(D12="","",IFERROR(VLOOKUP(D12,角色_种族_友方!B:C,2,FALSE),"ERROR"))</f>
        <v/>
      </c>
      <c r="F12" s="69"/>
      <c r="G12" s="70"/>
      <c r="H12" s="69"/>
      <c r="I12" s="70"/>
      <c r="J12" s="74"/>
      <c r="K12" s="74"/>
      <c r="L12" s="74"/>
      <c r="M12" s="81"/>
      <c r="N12" s="94"/>
      <c r="O12" s="79"/>
      <c r="P12" s="80"/>
      <c r="Q12" s="80"/>
      <c r="R12" s="80"/>
      <c r="S12" s="80"/>
      <c r="T12" s="80"/>
      <c r="U12" s="17"/>
      <c r="V12" s="17"/>
      <c r="W12" s="17"/>
      <c r="X12" s="17"/>
      <c r="Y12" s="17"/>
      <c r="Z12" s="17"/>
      <c r="AA12" s="17"/>
      <c r="AB12" s="22" t="str">
        <f>IF(Y12="","",IFERROR(VLOOKUP(Y12,角色_能力!B:C,2,FALSE),"ERROR"))</f>
        <v/>
      </c>
      <c r="AC12" s="22" t="str">
        <f>IF(Z12="","",IFERROR(VLOOKUP(Z12,角色_能力!B:C,2,FALSE),"ERROR"))</f>
        <v/>
      </c>
      <c r="AD12" s="17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7" t="str">
        <f>IF(AE12="","",IFERROR(VLOOKUP(AE12,角色_装备!B:C,2,FALSE),"ERROR"))</f>
        <v/>
      </c>
      <c r="AR12" s="17" t="str">
        <f>IF(AF12="","",IFERROR(VLOOKUP(AF12,角色_装备!B:C,2,FALSE),"ERROR"))</f>
        <v/>
      </c>
      <c r="AS12" s="17" t="str">
        <f>IF(AG12="","",IFERROR(VLOOKUP(AG12,角色_装备!B:C,2,FALSE),"ERROR"))</f>
        <v/>
      </c>
      <c r="AT12" s="17"/>
      <c r="AU12" s="17"/>
      <c r="AV12" s="17"/>
      <c r="AW12" s="17" t="str">
        <f>IF(AK12="","",IFERROR(VLOOKUP(AK12,角色_装备!B:C,2,FALSE),"ERROR"))</f>
        <v/>
      </c>
      <c r="AX12" s="17" t="str">
        <f>IF(AL12="","",IFERROR(VLOOKUP(AL12,角色_装备!B:C,2,FALSE),"ERROR"))</f>
        <v/>
      </c>
      <c r="AY12" s="17" t="str">
        <f>IF(AM12="","",IFERROR(VLOOKUP(AM12,角色_装备!B:C,2,FALSE),"ERROR"))</f>
        <v/>
      </c>
      <c r="AZ12" s="17"/>
      <c r="BA12" s="17"/>
      <c r="BB12" s="17"/>
    </row>
    <row r="13" spans="1:54">
      <c r="A13" s="5"/>
      <c r="B13" s="31"/>
      <c r="C13" s="31"/>
      <c r="D13" s="31"/>
      <c r="E13" s="65" t="str">
        <f>IF(D13="","",IFERROR(VLOOKUP(D13,角色_种族_友方!B:C,2,FALSE),"ERROR"))</f>
        <v/>
      </c>
      <c r="F13" s="69"/>
      <c r="G13" s="70"/>
      <c r="H13" s="69"/>
      <c r="I13" s="70"/>
      <c r="J13" s="74"/>
      <c r="K13" s="74"/>
      <c r="L13" s="74"/>
      <c r="M13" s="81"/>
      <c r="N13" s="94"/>
      <c r="O13" s="79"/>
      <c r="P13" s="80"/>
      <c r="Q13" s="80"/>
      <c r="R13" s="80"/>
      <c r="S13" s="80"/>
      <c r="T13" s="80"/>
      <c r="U13" s="17"/>
      <c r="V13" s="17"/>
      <c r="W13" s="17"/>
      <c r="X13" s="17"/>
      <c r="Y13" s="17"/>
      <c r="Z13" s="17"/>
      <c r="AA13" s="17"/>
      <c r="AB13" s="22" t="str">
        <f>IF(Y13="","",IFERROR(VLOOKUP(Y13,角色_能力!B:C,2,FALSE),"ERROR"))</f>
        <v/>
      </c>
      <c r="AC13" s="22" t="str">
        <f>IF(Z13="","",IFERROR(VLOOKUP(Z13,角色_能力!B:C,2,FALSE),"ERROR"))</f>
        <v/>
      </c>
      <c r="AD13" s="17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7" t="str">
        <f>IF(AE13="","",IFERROR(VLOOKUP(AE13,角色_装备!B:C,2,FALSE),"ERROR"))</f>
        <v/>
      </c>
      <c r="AR13" s="17" t="str">
        <f>IF(AF13="","",IFERROR(VLOOKUP(AF13,角色_装备!B:C,2,FALSE),"ERROR"))</f>
        <v/>
      </c>
      <c r="AS13" s="17" t="str">
        <f>IF(AG13="","",IFERROR(VLOOKUP(AG13,角色_装备!B:C,2,FALSE),"ERROR"))</f>
        <v/>
      </c>
      <c r="AT13" s="17"/>
      <c r="AU13" s="17"/>
      <c r="AV13" s="17"/>
      <c r="AW13" s="17" t="str">
        <f>IF(AK13="","",IFERROR(VLOOKUP(AK13,角色_装备!B:C,2,FALSE),"ERROR"))</f>
        <v/>
      </c>
      <c r="AX13" s="17" t="str">
        <f>IF(AL13="","",IFERROR(VLOOKUP(AL13,角色_装备!B:C,2,FALSE),"ERROR"))</f>
        <v/>
      </c>
      <c r="AY13" s="17" t="str">
        <f>IF(AM13="","",IFERROR(VLOOKUP(AM13,角色_装备!B:C,2,FALSE),"ERROR"))</f>
        <v/>
      </c>
      <c r="AZ13" s="17"/>
      <c r="BA13" s="17"/>
      <c r="BB13" s="17"/>
    </row>
    <row r="14" spans="1:54">
      <c r="A14" s="5"/>
      <c r="B14" s="31"/>
      <c r="C14" s="31"/>
      <c r="D14" s="31"/>
      <c r="E14" s="65" t="str">
        <f>IF(D14="","",IFERROR(VLOOKUP(D14,角色_种族_友方!B:C,2,FALSE),"ERROR"))</f>
        <v/>
      </c>
      <c r="F14" s="69"/>
      <c r="G14" s="70"/>
      <c r="H14" s="69"/>
      <c r="I14" s="70"/>
      <c r="J14" s="74"/>
      <c r="K14" s="74"/>
      <c r="L14" s="74"/>
      <c r="M14" s="81"/>
      <c r="N14" s="94"/>
      <c r="O14" s="79"/>
      <c r="P14" s="80"/>
      <c r="Q14" s="80"/>
      <c r="R14" s="80"/>
      <c r="S14" s="80"/>
      <c r="T14" s="80"/>
      <c r="U14" s="17"/>
      <c r="V14" s="17"/>
      <c r="W14" s="17"/>
      <c r="X14" s="17"/>
      <c r="Y14" s="17"/>
      <c r="Z14" s="17"/>
      <c r="AA14" s="17"/>
      <c r="AB14" s="22" t="str">
        <f>IF(Y14="","",IFERROR(VLOOKUP(Y14,角色_能力!B:C,2,FALSE),"ERROR"))</f>
        <v/>
      </c>
      <c r="AC14" s="22" t="str">
        <f>IF(Z14="","",IFERROR(VLOOKUP(Z14,角色_能力!B:C,2,FALSE),"ERROR"))</f>
        <v/>
      </c>
      <c r="AD14" s="17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7" t="str">
        <f>IF(AE14="","",IFERROR(VLOOKUP(AE14,角色_装备!B:C,2,FALSE),"ERROR"))</f>
        <v/>
      </c>
      <c r="AR14" s="17" t="str">
        <f>IF(AF14="","",IFERROR(VLOOKUP(AF14,角色_装备!B:C,2,FALSE),"ERROR"))</f>
        <v/>
      </c>
      <c r="AS14" s="17" t="str">
        <f>IF(AG14="","",IFERROR(VLOOKUP(AG14,角色_装备!B:C,2,FALSE),"ERROR"))</f>
        <v/>
      </c>
      <c r="AT14" s="17"/>
      <c r="AU14" s="17"/>
      <c r="AV14" s="17"/>
      <c r="AW14" s="17" t="str">
        <f>IF(AK14="","",IFERROR(VLOOKUP(AK14,角色_装备!B:C,2,FALSE),"ERROR"))</f>
        <v/>
      </c>
      <c r="AX14" s="17" t="str">
        <f>IF(AL14="","",IFERROR(VLOOKUP(AL14,角色_装备!B:C,2,FALSE),"ERROR"))</f>
        <v/>
      </c>
      <c r="AY14" s="17" t="str">
        <f>IF(AM14="","",IFERROR(VLOOKUP(AM14,角色_装备!B:C,2,FALSE),"ERROR"))</f>
        <v/>
      </c>
      <c r="AZ14" s="17"/>
      <c r="BA14" s="17"/>
      <c r="BB14" s="17"/>
    </row>
    <row r="15" spans="1:54">
      <c r="A15" s="5"/>
      <c r="B15" s="31"/>
      <c r="C15" s="31"/>
      <c r="D15" s="31"/>
      <c r="E15" s="65" t="str">
        <f>IF(D15="","",IFERROR(VLOOKUP(D15,角色_种族_友方!B:C,2,FALSE),"ERROR"))</f>
        <v/>
      </c>
      <c r="F15" s="69"/>
      <c r="G15" s="70"/>
      <c r="H15" s="69"/>
      <c r="I15" s="70"/>
      <c r="J15" s="74"/>
      <c r="K15" s="74"/>
      <c r="L15" s="75"/>
      <c r="M15" s="81"/>
      <c r="N15" s="94"/>
      <c r="O15" s="79"/>
      <c r="P15" s="80"/>
      <c r="Q15" s="80"/>
      <c r="R15" s="80"/>
      <c r="S15" s="80"/>
      <c r="T15" s="80"/>
      <c r="U15" s="17"/>
      <c r="V15" s="17"/>
      <c r="W15" s="17"/>
      <c r="X15" s="17"/>
      <c r="Y15" s="17"/>
      <c r="Z15" s="17"/>
      <c r="AA15" s="17"/>
      <c r="AB15" s="22" t="str">
        <f>IF(Y15="","",IFERROR(VLOOKUP(Y15,角色_能力!B:C,2,FALSE),"ERROR"))</f>
        <v/>
      </c>
      <c r="AC15" s="22" t="str">
        <f>IF(Z15="","",IFERROR(VLOOKUP(Z15,角色_能力!B:C,2,FALSE),"ERROR"))</f>
        <v/>
      </c>
      <c r="AD15" s="17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7" t="str">
        <f>IF(AE15="","",IFERROR(VLOOKUP(AE15,角色_装备!B:C,2,FALSE),"ERROR"))</f>
        <v/>
      </c>
      <c r="AR15" s="17" t="str">
        <f>IF(AF15="","",IFERROR(VLOOKUP(AF15,角色_装备!B:C,2,FALSE),"ERROR"))</f>
        <v/>
      </c>
      <c r="AS15" s="17" t="str">
        <f>IF(AG15="","",IFERROR(VLOOKUP(AG15,角色_装备!B:C,2,FALSE),"ERROR"))</f>
        <v/>
      </c>
      <c r="AT15" s="17"/>
      <c r="AU15" s="17"/>
      <c r="AV15" s="17"/>
      <c r="AW15" s="17" t="str">
        <f>IF(AK15="","",IFERROR(VLOOKUP(AK15,角色_装备!B:C,2,FALSE),"ERROR"))</f>
        <v/>
      </c>
      <c r="AX15" s="17" t="str">
        <f>IF(AL15="","",IFERROR(VLOOKUP(AL15,角色_装备!B:C,2,FALSE),"ERROR"))</f>
        <v/>
      </c>
      <c r="AY15" s="17" t="str">
        <f>IF(AM15="","",IFERROR(VLOOKUP(AM15,角色_装备!B:C,2,FALSE),"ERROR"))</f>
        <v/>
      </c>
      <c r="AZ15" s="17"/>
      <c r="BA15" s="17"/>
      <c r="BB15" s="17"/>
    </row>
    <row r="16" spans="1:54">
      <c r="A16" s="5"/>
      <c r="B16" s="31"/>
      <c r="C16" s="31"/>
      <c r="D16" s="31"/>
      <c r="E16" s="65" t="str">
        <f>IF(D16="","",IFERROR(VLOOKUP(D16,角色_种族_友方!B:C,2,FALSE),"ERROR"))</f>
        <v/>
      </c>
      <c r="F16" s="69"/>
      <c r="G16" s="70"/>
      <c r="H16" s="69"/>
      <c r="I16" s="70"/>
      <c r="J16" s="74"/>
      <c r="K16" s="74"/>
      <c r="L16" s="74"/>
      <c r="M16" s="81"/>
      <c r="N16" s="94"/>
      <c r="O16" s="79"/>
      <c r="P16" s="80"/>
      <c r="Q16" s="80"/>
      <c r="R16" s="80"/>
      <c r="S16" s="80"/>
      <c r="T16" s="80"/>
      <c r="U16" s="17"/>
      <c r="V16" s="17"/>
      <c r="W16" s="17"/>
      <c r="X16" s="17"/>
      <c r="Y16" s="17"/>
      <c r="Z16" s="17"/>
      <c r="AA16" s="17"/>
      <c r="AB16" s="22" t="str">
        <f>IF(Y16="","",IFERROR(VLOOKUP(Y16,角色_能力!B:C,2,FALSE),"ERROR"))</f>
        <v/>
      </c>
      <c r="AC16" s="22" t="str">
        <f>IF(Z16="","",IFERROR(VLOOKUP(Z16,角色_能力!B:C,2,FALSE),"ERROR"))</f>
        <v/>
      </c>
      <c r="AD16" s="17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7" t="str">
        <f>IF(AE16="","",IFERROR(VLOOKUP(AE16,角色_装备!B:C,2,FALSE),"ERROR"))</f>
        <v/>
      </c>
      <c r="AR16" s="17" t="str">
        <f>IF(AF16="","",IFERROR(VLOOKUP(AF16,角色_装备!B:C,2,FALSE),"ERROR"))</f>
        <v/>
      </c>
      <c r="AS16" s="17" t="str">
        <f>IF(AG16="","",IFERROR(VLOOKUP(AG16,角色_装备!B:C,2,FALSE),"ERROR"))</f>
        <v/>
      </c>
      <c r="AT16" s="17"/>
      <c r="AU16" s="17"/>
      <c r="AV16" s="17"/>
      <c r="AW16" s="17" t="str">
        <f>IF(AK16="","",IFERROR(VLOOKUP(AK16,角色_装备!B:C,2,FALSE),"ERROR"))</f>
        <v/>
      </c>
      <c r="AX16" s="17" t="str">
        <f>IF(AL16="","",IFERROR(VLOOKUP(AL16,角色_装备!B:C,2,FALSE),"ERROR"))</f>
        <v/>
      </c>
      <c r="AY16" s="17" t="str">
        <f>IF(AM16="","",IFERROR(VLOOKUP(AM16,角色_装备!B:C,2,FALSE),"ERROR"))</f>
        <v/>
      </c>
      <c r="AZ16" s="17"/>
      <c r="BA16" s="17"/>
      <c r="BB16" s="17"/>
    </row>
    <row r="17" spans="1:54">
      <c r="A17" s="5"/>
      <c r="B17" s="31"/>
      <c r="C17" s="31"/>
      <c r="D17" s="31"/>
      <c r="E17" s="65" t="str">
        <f>IF(D17="","",IFERROR(VLOOKUP(D17,角色_种族_友方!B:C,2,FALSE),"ERROR"))</f>
        <v/>
      </c>
      <c r="F17" s="69"/>
      <c r="G17" s="70"/>
      <c r="H17" s="69"/>
      <c r="I17" s="70"/>
      <c r="J17" s="74"/>
      <c r="K17" s="74"/>
      <c r="L17" s="74"/>
      <c r="M17" s="81"/>
      <c r="N17" s="94"/>
      <c r="O17" s="79"/>
      <c r="P17" s="80"/>
      <c r="Q17" s="80"/>
      <c r="R17" s="80"/>
      <c r="S17" s="80"/>
      <c r="T17" s="80"/>
      <c r="U17" s="17"/>
      <c r="V17" s="17"/>
      <c r="W17" s="17"/>
      <c r="X17" s="17"/>
      <c r="Y17" s="17"/>
      <c r="Z17" s="17"/>
      <c r="AA17" s="17"/>
      <c r="AB17" s="22" t="str">
        <f>IF(Y17="","",IFERROR(VLOOKUP(Y17,角色_能力!B:C,2,FALSE),"ERROR"))</f>
        <v/>
      </c>
      <c r="AC17" s="22" t="str">
        <f>IF(Z17="","",IFERROR(VLOOKUP(Z17,角色_能力!B:C,2,FALSE),"ERROR"))</f>
        <v/>
      </c>
      <c r="AD17" s="17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7" t="str">
        <f>IF(AE17="","",IFERROR(VLOOKUP(AE17,角色_装备!B:C,2,FALSE),"ERROR"))</f>
        <v/>
      </c>
      <c r="AR17" s="17" t="str">
        <f>IF(AF17="","",IFERROR(VLOOKUP(AF17,角色_装备!B:C,2,FALSE),"ERROR"))</f>
        <v/>
      </c>
      <c r="AS17" s="17" t="str">
        <f>IF(AG17="","",IFERROR(VLOOKUP(AG17,角色_装备!B:C,2,FALSE),"ERROR"))</f>
        <v/>
      </c>
      <c r="AT17" s="17"/>
      <c r="AU17" s="17"/>
      <c r="AV17" s="17"/>
      <c r="AW17" s="17" t="str">
        <f>IF(AK17="","",IFERROR(VLOOKUP(AK17,角色_装备!B:C,2,FALSE),"ERROR"))</f>
        <v/>
      </c>
      <c r="AX17" s="17" t="str">
        <f>IF(AL17="","",IFERROR(VLOOKUP(AL17,角色_装备!B:C,2,FALSE),"ERROR"))</f>
        <v/>
      </c>
      <c r="AY17" s="17" t="str">
        <f>IF(AM17="","",IFERROR(VLOOKUP(AM17,角色_装备!B:C,2,FALSE),"ERROR"))</f>
        <v/>
      </c>
      <c r="AZ17" s="17"/>
      <c r="BA17" s="17"/>
      <c r="BB17" s="17"/>
    </row>
    <row r="18" spans="1:54">
      <c r="A18" s="5"/>
      <c r="B18" s="31"/>
      <c r="C18" s="31"/>
      <c r="D18" s="31"/>
      <c r="E18" s="65" t="str">
        <f>IF(D18="","",IFERROR(VLOOKUP(D18,角色_种族_友方!B:C,2,FALSE),"ERROR"))</f>
        <v/>
      </c>
      <c r="F18" s="69"/>
      <c r="G18" s="70"/>
      <c r="H18" s="69"/>
      <c r="I18" s="70"/>
      <c r="J18" s="74"/>
      <c r="K18" s="74"/>
      <c r="L18" s="74"/>
      <c r="M18" s="81"/>
      <c r="N18" s="94"/>
      <c r="O18" s="79"/>
      <c r="P18" s="80"/>
      <c r="Q18" s="80"/>
      <c r="R18" s="80"/>
      <c r="S18" s="80"/>
      <c r="T18" s="80"/>
      <c r="U18" s="17"/>
      <c r="V18" s="17"/>
      <c r="W18" s="17"/>
      <c r="X18" s="17"/>
      <c r="Y18" s="17"/>
      <c r="Z18" s="17"/>
      <c r="AA18" s="17"/>
      <c r="AB18" s="22" t="str">
        <f>IF(Y18="","",IFERROR(VLOOKUP(Y18,角色_能力!B:C,2,FALSE),"ERROR"))</f>
        <v/>
      </c>
      <c r="AC18" s="22" t="str">
        <f>IF(Z18="","",IFERROR(VLOOKUP(Z18,角色_能力!B:C,2,FALSE),"ERROR"))</f>
        <v/>
      </c>
      <c r="AD18" s="17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7" t="str">
        <f>IF(AE18="","",IFERROR(VLOOKUP(AE18,角色_装备!B:C,2,FALSE),"ERROR"))</f>
        <v/>
      </c>
      <c r="AR18" s="17" t="str">
        <f>IF(AF18="","",IFERROR(VLOOKUP(AF18,角色_装备!B:C,2,FALSE),"ERROR"))</f>
        <v/>
      </c>
      <c r="AS18" s="17" t="str">
        <f>IF(AG18="","",IFERROR(VLOOKUP(AG18,角色_装备!B:C,2,FALSE),"ERROR"))</f>
        <v/>
      </c>
      <c r="AT18" s="17"/>
      <c r="AU18" s="17"/>
      <c r="AV18" s="17"/>
      <c r="AW18" s="17" t="str">
        <f>IF(AK18="","",IFERROR(VLOOKUP(AK18,角色_装备!B:C,2,FALSE),"ERROR"))</f>
        <v/>
      </c>
      <c r="AX18" s="17" t="str">
        <f>IF(AL18="","",IFERROR(VLOOKUP(AL18,角色_装备!B:C,2,FALSE),"ERROR"))</f>
        <v/>
      </c>
      <c r="AY18" s="17" t="str">
        <f>IF(AM18="","",IFERROR(VLOOKUP(AM18,角色_装备!B:C,2,FALSE),"ERROR"))</f>
        <v/>
      </c>
      <c r="AZ18" s="17"/>
      <c r="BA18" s="17"/>
      <c r="BB18" s="17"/>
    </row>
    <row r="19" spans="1:54">
      <c r="A19" s="5"/>
      <c r="B19" s="31"/>
      <c r="C19" s="31"/>
      <c r="D19" s="31"/>
      <c r="E19" s="65" t="str">
        <f>IF(D19="","",IFERROR(VLOOKUP(D19,角色_种族_友方!B:C,2,FALSE),"ERROR"))</f>
        <v/>
      </c>
      <c r="F19" s="69"/>
      <c r="G19" s="70"/>
      <c r="H19" s="69"/>
      <c r="I19" s="70"/>
      <c r="J19" s="74"/>
      <c r="K19" s="74"/>
      <c r="L19" s="74"/>
      <c r="M19" s="81"/>
      <c r="N19" s="94"/>
      <c r="O19" s="79"/>
      <c r="P19" s="80"/>
      <c r="Q19" s="80"/>
      <c r="R19" s="80"/>
      <c r="S19" s="80"/>
      <c r="T19" s="80"/>
      <c r="U19" s="17"/>
      <c r="V19" s="17"/>
      <c r="W19" s="17"/>
      <c r="X19" s="17"/>
      <c r="Y19" s="17"/>
      <c r="Z19" s="17"/>
      <c r="AA19" s="17"/>
      <c r="AB19" s="22" t="str">
        <f>IF(Y19="","",IFERROR(VLOOKUP(Y19,角色_能力!B:C,2,FALSE),"ERROR"))</f>
        <v/>
      </c>
      <c r="AC19" s="22" t="str">
        <f>IF(Z19="","",IFERROR(VLOOKUP(Z19,角色_能力!B:C,2,FALSE),"ERROR"))</f>
        <v/>
      </c>
      <c r="AD19" s="17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7" t="str">
        <f>IF(AE19="","",IFERROR(VLOOKUP(AE19,角色_装备!B:C,2,FALSE),"ERROR"))</f>
        <v/>
      </c>
      <c r="AR19" s="17" t="str">
        <f>IF(AF19="","",IFERROR(VLOOKUP(AF19,角色_装备!B:C,2,FALSE),"ERROR"))</f>
        <v/>
      </c>
      <c r="AS19" s="17" t="str">
        <f>IF(AG19="","",IFERROR(VLOOKUP(AG19,角色_装备!B:C,2,FALSE),"ERROR"))</f>
        <v/>
      </c>
      <c r="AT19" s="17"/>
      <c r="AU19" s="17"/>
      <c r="AV19" s="17"/>
      <c r="AW19" s="17" t="str">
        <f>IF(AK19="","",IFERROR(VLOOKUP(AK19,角色_装备!B:C,2,FALSE),"ERROR"))</f>
        <v/>
      </c>
      <c r="AX19" s="17" t="str">
        <f>IF(AL19="","",IFERROR(VLOOKUP(AL19,角色_装备!B:C,2,FALSE),"ERROR"))</f>
        <v/>
      </c>
      <c r="AY19" s="17" t="str">
        <f>IF(AM19="","",IFERROR(VLOOKUP(AM19,角色_装备!B:C,2,FALSE),"ERROR"))</f>
        <v/>
      </c>
      <c r="AZ19" s="17"/>
      <c r="BA19" s="17"/>
      <c r="BB19" s="17"/>
    </row>
    <row r="20" spans="1:54">
      <c r="A20" s="5"/>
      <c r="B20" s="31"/>
      <c r="C20" s="31"/>
      <c r="D20" s="31"/>
      <c r="E20" s="65" t="str">
        <f>IF(D20="","",IFERROR(VLOOKUP(D20,角色_种族_友方!B:C,2,FALSE),"ERROR"))</f>
        <v/>
      </c>
      <c r="F20" s="69"/>
      <c r="G20" s="70"/>
      <c r="H20" s="69"/>
      <c r="I20" s="70"/>
      <c r="J20" s="74"/>
      <c r="K20" s="74"/>
      <c r="L20" s="74"/>
      <c r="M20" s="81"/>
      <c r="N20" s="94"/>
      <c r="O20" s="79"/>
      <c r="P20" s="80"/>
      <c r="Q20" s="80"/>
      <c r="R20" s="80"/>
      <c r="S20" s="80"/>
      <c r="T20" s="80"/>
      <c r="U20" s="17"/>
      <c r="V20" s="17"/>
      <c r="W20" s="17"/>
      <c r="X20" s="17"/>
      <c r="Y20" s="17"/>
      <c r="Z20" s="17"/>
      <c r="AA20" s="17"/>
      <c r="AB20" s="22" t="str">
        <f>IF(Y20="","",IFERROR(VLOOKUP(Y20,角色_能力!B:C,2,FALSE),"ERROR"))</f>
        <v/>
      </c>
      <c r="AC20" s="22" t="str">
        <f>IF(Z20="","",IFERROR(VLOOKUP(Z20,角色_能力!B:C,2,FALSE),"ERROR"))</f>
        <v/>
      </c>
      <c r="AD20" s="17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7" t="str">
        <f>IF(AE20="","",IFERROR(VLOOKUP(AE20,角色_装备!B:C,2,FALSE),"ERROR"))</f>
        <v/>
      </c>
      <c r="AR20" s="17" t="str">
        <f>IF(AF20="","",IFERROR(VLOOKUP(AF20,角色_装备!B:C,2,FALSE),"ERROR"))</f>
        <v/>
      </c>
      <c r="AS20" s="17" t="str">
        <f>IF(AG20="","",IFERROR(VLOOKUP(AG20,角色_装备!B:C,2,FALSE),"ERROR"))</f>
        <v/>
      </c>
      <c r="AT20" s="17"/>
      <c r="AU20" s="17"/>
      <c r="AV20" s="17"/>
      <c r="AW20" s="17" t="str">
        <f>IF(AK20="","",IFERROR(VLOOKUP(AK20,角色_装备!B:C,2,FALSE),"ERROR"))</f>
        <v/>
      </c>
      <c r="AX20" s="17" t="str">
        <f>IF(AL20="","",IFERROR(VLOOKUP(AL20,角色_装备!B:C,2,FALSE),"ERROR"))</f>
        <v/>
      </c>
      <c r="AY20" s="17" t="str">
        <f>IF(AM20="","",IFERROR(VLOOKUP(AM20,角色_装备!B:C,2,FALSE),"ERROR"))</f>
        <v/>
      </c>
      <c r="AZ20" s="17"/>
      <c r="BA20" s="17"/>
      <c r="BB20" s="17"/>
    </row>
    <row r="21" spans="1:54">
      <c r="A21" s="5"/>
      <c r="B21" s="31"/>
      <c r="C21" s="31"/>
      <c r="D21" s="31"/>
      <c r="E21" s="65" t="str">
        <f>IF(D21="","",IFERROR(VLOOKUP(D21,角色_种族_友方!B:C,2,FALSE),"ERROR"))</f>
        <v/>
      </c>
      <c r="F21" s="69"/>
      <c r="G21" s="70"/>
      <c r="H21" s="69"/>
      <c r="I21" s="70"/>
      <c r="J21" s="74"/>
      <c r="K21" s="74"/>
      <c r="L21" s="74"/>
      <c r="M21" s="81"/>
      <c r="N21" s="94"/>
      <c r="O21" s="79"/>
      <c r="P21" s="80"/>
      <c r="Q21" s="80"/>
      <c r="R21" s="80"/>
      <c r="S21" s="80"/>
      <c r="T21" s="80"/>
      <c r="U21" s="17"/>
      <c r="V21" s="17"/>
      <c r="W21" s="17"/>
      <c r="X21" s="17"/>
      <c r="Y21" s="17"/>
      <c r="Z21" s="17"/>
      <c r="AA21" s="17"/>
      <c r="AB21" s="22" t="str">
        <f>IF(Y21="","",IFERROR(VLOOKUP(Y21,角色_能力!B:C,2,FALSE),"ERROR"))</f>
        <v/>
      </c>
      <c r="AC21" s="22" t="str">
        <f>IF(Z21="","",IFERROR(VLOOKUP(Z21,角色_能力!B:C,2,FALSE),"ERROR"))</f>
        <v/>
      </c>
      <c r="AD21" s="17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7" t="str">
        <f>IF(AE21="","",IFERROR(VLOOKUP(AE21,角色_装备!B:C,2,FALSE),"ERROR"))</f>
        <v/>
      </c>
      <c r="AR21" s="17" t="str">
        <f>IF(AF21="","",IFERROR(VLOOKUP(AF21,角色_装备!B:C,2,FALSE),"ERROR"))</f>
        <v/>
      </c>
      <c r="AS21" s="17" t="str">
        <f>IF(AG21="","",IFERROR(VLOOKUP(AG21,角色_装备!B:C,2,FALSE),"ERROR"))</f>
        <v/>
      </c>
      <c r="AT21" s="17"/>
      <c r="AU21" s="17"/>
      <c r="AV21" s="17"/>
      <c r="AW21" s="17" t="str">
        <f>IF(AK21="","",IFERROR(VLOOKUP(AK21,角色_装备!B:C,2,FALSE),"ERROR"))</f>
        <v/>
      </c>
      <c r="AX21" s="17" t="str">
        <f>IF(AL21="","",IFERROR(VLOOKUP(AL21,角色_装备!B:C,2,FALSE),"ERROR"))</f>
        <v/>
      </c>
      <c r="AY21" s="17" t="str">
        <f>IF(AM21="","",IFERROR(VLOOKUP(AM21,角色_装备!B:C,2,FALSE),"ERROR"))</f>
        <v/>
      </c>
      <c r="AZ21" s="17"/>
      <c r="BA21" s="17"/>
      <c r="BB21" s="17"/>
    </row>
    <row r="22" spans="1:54">
      <c r="A22" s="5"/>
      <c r="B22" s="31"/>
      <c r="C22" s="31"/>
      <c r="D22" s="31"/>
      <c r="E22" s="65" t="str">
        <f>IF(D22="","",IFERROR(VLOOKUP(D22,角色_种族_友方!B:C,2,FALSE),"ERROR"))</f>
        <v/>
      </c>
      <c r="F22" s="69"/>
      <c r="G22" s="70"/>
      <c r="H22" s="69"/>
      <c r="I22" s="70"/>
      <c r="J22" s="74"/>
      <c r="K22" s="74"/>
      <c r="L22" s="74"/>
      <c r="M22" s="81"/>
      <c r="N22" s="94"/>
      <c r="O22" s="79"/>
      <c r="P22" s="80"/>
      <c r="Q22" s="80"/>
      <c r="R22" s="80"/>
      <c r="S22" s="80"/>
      <c r="T22" s="80"/>
      <c r="U22" s="17"/>
      <c r="V22" s="17"/>
      <c r="W22" s="17"/>
      <c r="X22" s="17"/>
      <c r="Y22" s="17"/>
      <c r="Z22" s="17"/>
      <c r="AA22" s="17"/>
      <c r="AB22" s="22" t="str">
        <f>IF(Y22="","",IFERROR(VLOOKUP(Y22,角色_能力!B:C,2,FALSE),"ERROR"))</f>
        <v/>
      </c>
      <c r="AC22" s="22" t="str">
        <f>IF(Z22="","",IFERROR(VLOOKUP(Z22,角色_能力!B:C,2,FALSE),"ERROR"))</f>
        <v/>
      </c>
      <c r="AD22" s="17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7" t="str">
        <f>IF(AE22="","",IFERROR(VLOOKUP(AE22,角色_装备!B:C,2,FALSE),"ERROR"))</f>
        <v/>
      </c>
      <c r="AR22" s="17" t="str">
        <f>IF(AF22="","",IFERROR(VLOOKUP(AF22,角色_装备!B:C,2,FALSE),"ERROR"))</f>
        <v/>
      </c>
      <c r="AS22" s="17" t="str">
        <f>IF(AG22="","",IFERROR(VLOOKUP(AG22,角色_装备!B:C,2,FALSE),"ERROR"))</f>
        <v/>
      </c>
      <c r="AT22" s="17"/>
      <c r="AU22" s="17"/>
      <c r="AV22" s="17"/>
      <c r="AW22" s="17" t="str">
        <f>IF(AK22="","",IFERROR(VLOOKUP(AK22,角色_装备!B:C,2,FALSE),"ERROR"))</f>
        <v/>
      </c>
      <c r="AX22" s="17" t="str">
        <f>IF(AL22="","",IFERROR(VLOOKUP(AL22,角色_装备!B:C,2,FALSE),"ERROR"))</f>
        <v/>
      </c>
      <c r="AY22" s="17" t="str">
        <f>IF(AM22="","",IFERROR(VLOOKUP(AM22,角色_装备!B:C,2,FALSE),"ERROR"))</f>
        <v/>
      </c>
      <c r="AZ22" s="17"/>
      <c r="BA22" s="17"/>
      <c r="BB22" s="17"/>
    </row>
    <row r="23" spans="1:54">
      <c r="A23" s="5"/>
      <c r="B23" s="31"/>
      <c r="C23" s="31"/>
      <c r="D23" s="31"/>
      <c r="E23" s="65" t="str">
        <f>IF(D23="","",IFERROR(VLOOKUP(D23,角色_种族_友方!B:C,2,FALSE),"ERROR"))</f>
        <v/>
      </c>
      <c r="F23" s="69"/>
      <c r="G23" s="70"/>
      <c r="H23" s="69"/>
      <c r="I23" s="70"/>
      <c r="J23" s="74"/>
      <c r="K23" s="74"/>
      <c r="L23" s="74"/>
      <c r="M23" s="81"/>
      <c r="N23" s="94"/>
      <c r="O23" s="79"/>
      <c r="P23" s="80"/>
      <c r="Q23" s="80"/>
      <c r="R23" s="80"/>
      <c r="S23" s="80"/>
      <c r="T23" s="80"/>
      <c r="U23" s="17"/>
      <c r="V23" s="17"/>
      <c r="W23" s="17"/>
      <c r="X23" s="17"/>
      <c r="Y23" s="17"/>
      <c r="Z23" s="17"/>
      <c r="AA23" s="17"/>
      <c r="AB23" s="22" t="str">
        <f>IF(Y23="","",IFERROR(VLOOKUP(Y23,角色_能力!B:C,2,FALSE),"ERROR"))</f>
        <v/>
      </c>
      <c r="AC23" s="22" t="str">
        <f>IF(Z23="","",IFERROR(VLOOKUP(Z23,角色_能力!B:C,2,FALSE),"ERROR"))</f>
        <v/>
      </c>
      <c r="AD23" s="17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 t="str">
        <f>IF(AE23="","",IFERROR(VLOOKUP(AE23,角色_装备!B:C,2,FALSE),"ERROR"))</f>
        <v/>
      </c>
      <c r="AR23" s="17" t="str">
        <f>IF(AF23="","",IFERROR(VLOOKUP(AF23,角色_装备!B:C,2,FALSE),"ERROR"))</f>
        <v/>
      </c>
      <c r="AS23" s="17" t="str">
        <f>IF(AG23="","",IFERROR(VLOOKUP(AG23,角色_装备!B:C,2,FALSE),"ERROR"))</f>
        <v/>
      </c>
      <c r="AT23" s="17"/>
      <c r="AU23" s="17"/>
      <c r="AV23" s="17"/>
      <c r="AW23" s="17" t="str">
        <f>IF(AK23="","",IFERROR(VLOOKUP(AK23,角色_装备!B:C,2,FALSE),"ERROR"))</f>
        <v/>
      </c>
      <c r="AX23" s="17" t="str">
        <f>IF(AL23="","",IFERROR(VLOOKUP(AL23,角色_装备!B:C,2,FALSE),"ERROR"))</f>
        <v/>
      </c>
      <c r="AY23" s="17" t="str">
        <f>IF(AM23="","",IFERROR(VLOOKUP(AM23,角色_装备!B:C,2,FALSE),"ERROR"))</f>
        <v/>
      </c>
      <c r="AZ23" s="17"/>
      <c r="BA23" s="17"/>
      <c r="BB23" s="17"/>
    </row>
    <row r="24" spans="1:54">
      <c r="A24" s="5"/>
      <c r="B24" s="31"/>
      <c r="C24" s="31"/>
      <c r="D24" s="31"/>
      <c r="E24" s="65" t="str">
        <f>IF(D24="","",IFERROR(VLOOKUP(D24,角色_种族_友方!B:C,2,FALSE),"ERROR"))</f>
        <v/>
      </c>
      <c r="F24" s="69"/>
      <c r="G24" s="70"/>
      <c r="H24" s="69"/>
      <c r="I24" s="70"/>
      <c r="J24" s="74"/>
      <c r="K24" s="74"/>
      <c r="L24" s="74"/>
      <c r="M24" s="81"/>
      <c r="N24" s="94"/>
      <c r="O24" s="79"/>
      <c r="P24" s="80"/>
      <c r="Q24" s="80"/>
      <c r="R24" s="80"/>
      <c r="S24" s="80"/>
      <c r="T24" s="80"/>
      <c r="U24" s="17"/>
      <c r="V24" s="17"/>
      <c r="W24" s="17"/>
      <c r="X24" s="17"/>
      <c r="Y24" s="17"/>
      <c r="Z24" s="17"/>
      <c r="AA24" s="17"/>
      <c r="AB24" s="22" t="str">
        <f>IF(Y24="","",IFERROR(VLOOKUP(Y24,角色_能力!B:C,2,FALSE),"ERROR"))</f>
        <v/>
      </c>
      <c r="AC24" s="22" t="str">
        <f>IF(Z24="","",IFERROR(VLOOKUP(Z24,角色_能力!B:C,2,FALSE),"ERROR"))</f>
        <v/>
      </c>
      <c r="AD24" s="17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7" t="str">
        <f>IF(AE24="","",IFERROR(VLOOKUP(AE24,角色_装备!B:C,2,FALSE),"ERROR"))</f>
        <v/>
      </c>
      <c r="AR24" s="17" t="str">
        <f>IF(AF24="","",IFERROR(VLOOKUP(AF24,角色_装备!B:C,2,FALSE),"ERROR"))</f>
        <v/>
      </c>
      <c r="AS24" s="17" t="str">
        <f>IF(AG24="","",IFERROR(VLOOKUP(AG24,角色_装备!B:C,2,FALSE),"ERROR"))</f>
        <v/>
      </c>
      <c r="AT24" s="17"/>
      <c r="AU24" s="17"/>
      <c r="AV24" s="17"/>
      <c r="AW24" s="17" t="str">
        <f>IF(AK24="","",IFERROR(VLOOKUP(AK24,角色_装备!B:C,2,FALSE),"ERROR"))</f>
        <v/>
      </c>
      <c r="AX24" s="17" t="str">
        <f>IF(AL24="","",IFERROR(VLOOKUP(AL24,角色_装备!B:C,2,FALSE),"ERROR"))</f>
        <v/>
      </c>
      <c r="AY24" s="17" t="str">
        <f>IF(AM24="","",IFERROR(VLOOKUP(AM24,角色_装备!B:C,2,FALSE),"ERROR"))</f>
        <v/>
      </c>
      <c r="AZ24" s="17"/>
      <c r="BA24" s="17"/>
      <c r="BB24" s="17"/>
    </row>
    <row r="25" spans="1:54">
      <c r="A25" s="5"/>
      <c r="B25" s="31"/>
      <c r="C25" s="31"/>
      <c r="D25" s="31"/>
      <c r="E25" s="65" t="str">
        <f>IF(D25="","",IFERROR(VLOOKUP(D25,角色_种族_友方!B:C,2,FALSE),"ERROR"))</f>
        <v/>
      </c>
      <c r="F25" s="69"/>
      <c r="G25" s="70"/>
      <c r="H25" s="69"/>
      <c r="I25" s="70"/>
      <c r="J25" s="74"/>
      <c r="K25" s="74"/>
      <c r="L25" s="74"/>
      <c r="M25" s="81"/>
      <c r="N25" s="94"/>
      <c r="O25" s="79"/>
      <c r="P25" s="80"/>
      <c r="Q25" s="80"/>
      <c r="R25" s="80"/>
      <c r="S25" s="80"/>
      <c r="T25" s="80"/>
      <c r="U25" s="17"/>
      <c r="V25" s="17"/>
      <c r="W25" s="17"/>
      <c r="X25" s="17"/>
      <c r="Y25" s="17"/>
      <c r="Z25" s="17"/>
      <c r="AA25" s="17"/>
      <c r="AB25" s="22" t="str">
        <f>IF(Y25="","",IFERROR(VLOOKUP(Y25,角色_能力!B:C,2,FALSE),"ERROR"))</f>
        <v/>
      </c>
      <c r="AC25" s="22" t="str">
        <f>IF(Z25="","",IFERROR(VLOOKUP(Z25,角色_能力!B:C,2,FALSE),"ERROR"))</f>
        <v/>
      </c>
      <c r="AD25" s="17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7" t="str">
        <f>IF(AE25="","",IFERROR(VLOOKUP(AE25,角色_装备!B:C,2,FALSE),"ERROR"))</f>
        <v/>
      </c>
      <c r="AR25" s="17" t="str">
        <f>IF(AF25="","",IFERROR(VLOOKUP(AF25,角色_装备!B:C,2,FALSE),"ERROR"))</f>
        <v/>
      </c>
      <c r="AS25" s="17" t="str">
        <f>IF(AG25="","",IFERROR(VLOOKUP(AG25,角色_装备!B:C,2,FALSE),"ERROR"))</f>
        <v/>
      </c>
      <c r="AT25" s="17"/>
      <c r="AU25" s="17"/>
      <c r="AV25" s="17"/>
      <c r="AW25" s="17" t="str">
        <f>IF(AK25="","",IFERROR(VLOOKUP(AK25,角色_装备!B:C,2,FALSE),"ERROR"))</f>
        <v/>
      </c>
      <c r="AX25" s="17" t="str">
        <f>IF(AL25="","",IFERROR(VLOOKUP(AL25,角色_装备!B:C,2,FALSE),"ERROR"))</f>
        <v/>
      </c>
      <c r="AY25" s="17" t="str">
        <f>IF(AM25="","",IFERROR(VLOOKUP(AM25,角色_装备!B:C,2,FALSE),"ERROR"))</f>
        <v/>
      </c>
      <c r="AZ25" s="17"/>
      <c r="BA25" s="17"/>
      <c r="BB25" s="17"/>
    </row>
    <row r="26" spans="1:54">
      <c r="A26" s="5"/>
      <c r="B26" s="31"/>
      <c r="C26" s="31"/>
      <c r="D26" s="31"/>
      <c r="E26" s="65" t="str">
        <f>IF(D26="","",IFERROR(VLOOKUP(D26,角色_种族_友方!B:C,2,FALSE),"ERROR"))</f>
        <v/>
      </c>
      <c r="F26" s="69"/>
      <c r="G26" s="70"/>
      <c r="H26" s="69"/>
      <c r="I26" s="70"/>
      <c r="J26" s="74"/>
      <c r="K26" s="74"/>
      <c r="L26" s="74"/>
      <c r="M26" s="81"/>
      <c r="N26" s="94"/>
      <c r="O26" s="79"/>
      <c r="P26" s="80"/>
      <c r="Q26" s="80"/>
      <c r="R26" s="80"/>
      <c r="S26" s="80"/>
      <c r="T26" s="80"/>
      <c r="U26" s="17"/>
      <c r="V26" s="17"/>
      <c r="W26" s="17"/>
      <c r="X26" s="17"/>
      <c r="Y26" s="17"/>
      <c r="Z26" s="17"/>
      <c r="AA26" s="17"/>
      <c r="AB26" s="22" t="str">
        <f>IF(Y26="","",IFERROR(VLOOKUP(Y26,角色_能力!B:C,2,FALSE),"ERROR"))</f>
        <v/>
      </c>
      <c r="AC26" s="22" t="str">
        <f>IF(Z26="","",IFERROR(VLOOKUP(Z26,角色_能力!B:C,2,FALSE),"ERROR"))</f>
        <v/>
      </c>
      <c r="AD26" s="17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7" t="str">
        <f>IF(AE26="","",IFERROR(VLOOKUP(AE26,角色_装备!B:C,2,FALSE),"ERROR"))</f>
        <v/>
      </c>
      <c r="AR26" s="17" t="str">
        <f>IF(AF26="","",IFERROR(VLOOKUP(AF26,角色_装备!B:C,2,FALSE),"ERROR"))</f>
        <v/>
      </c>
      <c r="AS26" s="17" t="str">
        <f>IF(AG26="","",IFERROR(VLOOKUP(AG26,角色_装备!B:C,2,FALSE),"ERROR"))</f>
        <v/>
      </c>
      <c r="AT26" s="17"/>
      <c r="AU26" s="17"/>
      <c r="AV26" s="17"/>
      <c r="AW26" s="17" t="str">
        <f>IF(AK26="","",IFERROR(VLOOKUP(AK26,角色_装备!B:C,2,FALSE),"ERROR"))</f>
        <v/>
      </c>
      <c r="AX26" s="17" t="str">
        <f>IF(AL26="","",IFERROR(VLOOKUP(AL26,角色_装备!B:C,2,FALSE),"ERROR"))</f>
        <v/>
      </c>
      <c r="AY26" s="17" t="str">
        <f>IF(AM26="","",IFERROR(VLOOKUP(AM26,角色_装备!B:C,2,FALSE),"ERROR"))</f>
        <v/>
      </c>
      <c r="AZ26" s="17"/>
      <c r="BA26" s="17"/>
      <c r="BB26" s="17"/>
    </row>
    <row r="27" spans="1:54">
      <c r="A27" s="5"/>
      <c r="B27" s="31"/>
      <c r="C27" s="31"/>
      <c r="D27" s="31"/>
      <c r="E27" s="65" t="str">
        <f>IF(D27="","",IFERROR(VLOOKUP(D27,角色_种族_友方!B:C,2,FALSE),"ERROR"))</f>
        <v/>
      </c>
      <c r="F27" s="69"/>
      <c r="G27" s="70"/>
      <c r="H27" s="69"/>
      <c r="I27" s="70"/>
      <c r="J27" s="74"/>
      <c r="K27" s="74"/>
      <c r="L27" s="74"/>
      <c r="M27" s="81"/>
      <c r="N27" s="94"/>
      <c r="O27" s="79"/>
      <c r="P27" s="80"/>
      <c r="Q27" s="80"/>
      <c r="R27" s="80"/>
      <c r="S27" s="80"/>
      <c r="T27" s="80"/>
      <c r="U27" s="17"/>
      <c r="V27" s="17"/>
      <c r="W27" s="17"/>
      <c r="X27" s="17"/>
      <c r="Y27" s="17"/>
      <c r="Z27" s="17"/>
      <c r="AA27" s="17"/>
      <c r="AB27" s="22" t="str">
        <f>IF(Y27="","",IFERROR(VLOOKUP(Y27,角色_能力!B:C,2,FALSE),"ERROR"))</f>
        <v/>
      </c>
      <c r="AC27" s="22" t="str">
        <f>IF(Z27="","",IFERROR(VLOOKUP(Z27,角色_能力!B:C,2,FALSE),"ERROR"))</f>
        <v/>
      </c>
      <c r="AD27" s="17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7" t="str">
        <f>IF(AE27="","",IFERROR(VLOOKUP(AE27,角色_装备!B:C,2,FALSE),"ERROR"))</f>
        <v/>
      </c>
      <c r="AR27" s="17" t="str">
        <f>IF(AF27="","",IFERROR(VLOOKUP(AF27,角色_装备!B:C,2,FALSE),"ERROR"))</f>
        <v/>
      </c>
      <c r="AS27" s="17" t="str">
        <f>IF(AG27="","",IFERROR(VLOOKUP(AG27,角色_装备!B:C,2,FALSE),"ERROR"))</f>
        <v/>
      </c>
      <c r="AT27" s="17"/>
      <c r="AU27" s="17"/>
      <c r="AV27" s="17"/>
      <c r="AW27" s="17" t="str">
        <f>IF(AK27="","",IFERROR(VLOOKUP(AK27,角色_装备!B:C,2,FALSE),"ERROR"))</f>
        <v/>
      </c>
      <c r="AX27" s="17" t="str">
        <f>IF(AL27="","",IFERROR(VLOOKUP(AL27,角色_装备!B:C,2,FALSE),"ERROR"))</f>
        <v/>
      </c>
      <c r="AY27" s="17" t="str">
        <f>IF(AM27="","",IFERROR(VLOOKUP(AM27,角色_装备!B:C,2,FALSE),"ERROR"))</f>
        <v/>
      </c>
      <c r="AZ27" s="17"/>
      <c r="BA27" s="17"/>
      <c r="BB27" s="17"/>
    </row>
    <row r="28" spans="1:54">
      <c r="A28" s="5"/>
      <c r="B28" s="31"/>
      <c r="C28" s="31"/>
      <c r="D28" s="31"/>
      <c r="E28" s="65" t="str">
        <f>IF(D28="","",IFERROR(VLOOKUP(D28,角色_种族_友方!B:C,2,FALSE),"ERROR"))</f>
        <v/>
      </c>
      <c r="F28" s="69"/>
      <c r="G28" s="70"/>
      <c r="H28" s="69"/>
      <c r="I28" s="70"/>
      <c r="J28" s="74"/>
      <c r="K28" s="74"/>
      <c r="L28" s="74"/>
      <c r="M28" s="81"/>
      <c r="N28" s="94"/>
      <c r="O28" s="79"/>
      <c r="P28" s="80"/>
      <c r="Q28" s="80"/>
      <c r="R28" s="80"/>
      <c r="S28" s="80"/>
      <c r="T28" s="80"/>
      <c r="U28" s="17"/>
      <c r="V28" s="17"/>
      <c r="W28" s="17"/>
      <c r="X28" s="17"/>
      <c r="Y28" s="17"/>
      <c r="Z28" s="17"/>
      <c r="AA28" s="17"/>
      <c r="AB28" s="22" t="str">
        <f>IF(Y28="","",IFERROR(VLOOKUP(Y28,角色_能力!B:C,2,FALSE),"ERROR"))</f>
        <v/>
      </c>
      <c r="AC28" s="22" t="str">
        <f>IF(Z28="","",IFERROR(VLOOKUP(Z28,角色_能力!B:C,2,FALSE),"ERROR"))</f>
        <v/>
      </c>
      <c r="AD28" s="17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7" t="str">
        <f>IF(AE28="","",IFERROR(VLOOKUP(AE28,角色_装备!B:C,2,FALSE),"ERROR"))</f>
        <v/>
      </c>
      <c r="AR28" s="17" t="str">
        <f>IF(AF28="","",IFERROR(VLOOKUP(AF28,角色_装备!B:C,2,FALSE),"ERROR"))</f>
        <v/>
      </c>
      <c r="AS28" s="17" t="str">
        <f>IF(AG28="","",IFERROR(VLOOKUP(AG28,角色_装备!B:C,2,FALSE),"ERROR"))</f>
        <v/>
      </c>
      <c r="AT28" s="17"/>
      <c r="AU28" s="17"/>
      <c r="AV28" s="17"/>
      <c r="AW28" s="17" t="str">
        <f>IF(AK28="","",IFERROR(VLOOKUP(AK28,角色_装备!B:C,2,FALSE),"ERROR"))</f>
        <v/>
      </c>
      <c r="AX28" s="17" t="str">
        <f>IF(AL28="","",IFERROR(VLOOKUP(AL28,角色_装备!B:C,2,FALSE),"ERROR"))</f>
        <v/>
      </c>
      <c r="AY28" s="17" t="str">
        <f>IF(AM28="","",IFERROR(VLOOKUP(AM28,角色_装备!B:C,2,FALSE),"ERROR"))</f>
        <v/>
      </c>
      <c r="AZ28" s="17"/>
      <c r="BA28" s="17"/>
      <c r="BB28" s="17"/>
    </row>
    <row r="29" spans="1:54">
      <c r="A29" s="5"/>
      <c r="B29" s="31"/>
      <c r="C29" s="31"/>
      <c r="D29" s="31"/>
      <c r="E29" s="65" t="str">
        <f>IF(D29="","",IFERROR(VLOOKUP(D29,角色_种族_友方!B:C,2,FALSE),"ERROR"))</f>
        <v/>
      </c>
      <c r="F29" s="69"/>
      <c r="G29" s="70"/>
      <c r="H29" s="69"/>
      <c r="I29" s="70"/>
      <c r="J29" s="74"/>
      <c r="K29" s="74"/>
      <c r="L29" s="74"/>
      <c r="M29" s="81"/>
      <c r="N29" s="94"/>
      <c r="O29" s="79"/>
      <c r="P29" s="80"/>
      <c r="Q29" s="80"/>
      <c r="R29" s="80"/>
      <c r="S29" s="80"/>
      <c r="T29" s="80"/>
      <c r="U29" s="17"/>
      <c r="V29" s="17"/>
      <c r="W29" s="17"/>
      <c r="X29" s="17"/>
      <c r="Y29" s="17"/>
      <c r="Z29" s="17"/>
      <c r="AA29" s="17"/>
      <c r="AB29" s="22" t="str">
        <f>IF(Y29="","",IFERROR(VLOOKUP(Y29,角色_能力!B:C,2,FALSE),"ERROR"))</f>
        <v/>
      </c>
      <c r="AC29" s="22" t="str">
        <f>IF(Z29="","",IFERROR(VLOOKUP(Z29,角色_能力!B:C,2,FALSE),"ERROR"))</f>
        <v/>
      </c>
      <c r="AD29" s="17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7" t="str">
        <f>IF(AE29="","",IFERROR(VLOOKUP(AE29,角色_装备!B:C,2,FALSE),"ERROR"))</f>
        <v/>
      </c>
      <c r="AR29" s="17" t="str">
        <f>IF(AF29="","",IFERROR(VLOOKUP(AF29,角色_装备!B:C,2,FALSE),"ERROR"))</f>
        <v/>
      </c>
      <c r="AS29" s="17" t="str">
        <f>IF(AG29="","",IFERROR(VLOOKUP(AG29,角色_装备!B:C,2,FALSE),"ERROR"))</f>
        <v/>
      </c>
      <c r="AT29" s="17"/>
      <c r="AU29" s="17"/>
      <c r="AV29" s="17"/>
      <c r="AW29" s="17" t="str">
        <f>IF(AK29="","",IFERROR(VLOOKUP(AK29,角色_装备!B:C,2,FALSE),"ERROR"))</f>
        <v/>
      </c>
      <c r="AX29" s="17" t="str">
        <f>IF(AL29="","",IFERROR(VLOOKUP(AL29,角色_装备!B:C,2,FALSE),"ERROR"))</f>
        <v/>
      </c>
      <c r="AY29" s="17" t="str">
        <f>IF(AM29="","",IFERROR(VLOOKUP(AM29,角色_装备!B:C,2,FALSE),"ERROR"))</f>
        <v/>
      </c>
      <c r="AZ29" s="17"/>
      <c r="BA29" s="17"/>
      <c r="BB29" s="17"/>
    </row>
    <row r="30" spans="1:54">
      <c r="A30" s="5"/>
      <c r="B30" s="31"/>
      <c r="C30" s="31"/>
      <c r="D30" s="31"/>
      <c r="E30" s="65" t="str">
        <f>IF(D30="","",IFERROR(VLOOKUP(D30,角色_种族_友方!B:C,2,FALSE),"ERROR"))</f>
        <v/>
      </c>
      <c r="F30" s="69"/>
      <c r="G30" s="70"/>
      <c r="H30" s="69"/>
      <c r="I30" s="70"/>
      <c r="J30" s="74"/>
      <c r="K30" s="74"/>
      <c r="L30" s="74"/>
      <c r="M30" s="81"/>
      <c r="N30" s="94"/>
      <c r="O30" s="79"/>
      <c r="P30" s="80"/>
      <c r="Q30" s="80"/>
      <c r="R30" s="80"/>
      <c r="S30" s="80"/>
      <c r="T30" s="80"/>
      <c r="U30" s="17"/>
      <c r="V30" s="17"/>
      <c r="W30" s="17"/>
      <c r="X30" s="17"/>
      <c r="Y30" s="17"/>
      <c r="Z30" s="17"/>
      <c r="AA30" s="17"/>
      <c r="AB30" s="22" t="str">
        <f>IF(Y30="","",IFERROR(VLOOKUP(Y30,角色_能力!B:C,2,FALSE),"ERROR"))</f>
        <v/>
      </c>
      <c r="AC30" s="22" t="str">
        <f>IF(Z30="","",IFERROR(VLOOKUP(Z30,角色_能力!B:C,2,FALSE),"ERROR"))</f>
        <v/>
      </c>
      <c r="AD30" s="17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7" t="str">
        <f>IF(AE30="","",IFERROR(VLOOKUP(AE30,角色_装备!B:C,2,FALSE),"ERROR"))</f>
        <v/>
      </c>
      <c r="AR30" s="17" t="str">
        <f>IF(AF30="","",IFERROR(VLOOKUP(AF30,角色_装备!B:C,2,FALSE),"ERROR"))</f>
        <v/>
      </c>
      <c r="AS30" s="17" t="str">
        <f>IF(AG30="","",IFERROR(VLOOKUP(AG30,角色_装备!B:C,2,FALSE),"ERROR"))</f>
        <v/>
      </c>
      <c r="AT30" s="17"/>
      <c r="AU30" s="17"/>
      <c r="AV30" s="17"/>
      <c r="AW30" s="17" t="str">
        <f>IF(AK30="","",IFERROR(VLOOKUP(AK30,角色_装备!B:C,2,FALSE),"ERROR"))</f>
        <v/>
      </c>
      <c r="AX30" s="17" t="str">
        <f>IF(AL30="","",IFERROR(VLOOKUP(AL30,角色_装备!B:C,2,FALSE),"ERROR"))</f>
        <v/>
      </c>
      <c r="AY30" s="17" t="str">
        <f>IF(AM30="","",IFERROR(VLOOKUP(AM30,角色_装备!B:C,2,FALSE),"ERROR"))</f>
        <v/>
      </c>
      <c r="AZ30" s="17"/>
      <c r="BA30" s="17"/>
      <c r="BB30" s="17"/>
    </row>
    <row r="31" spans="1:54">
      <c r="A31" s="5"/>
      <c r="B31" s="31"/>
      <c r="C31" s="31"/>
      <c r="D31" s="31"/>
      <c r="E31" s="65" t="str">
        <f>IF(D31="","",IFERROR(VLOOKUP(D31,角色_种族_友方!B:C,2,FALSE),"ERROR"))</f>
        <v/>
      </c>
      <c r="F31" s="69"/>
      <c r="G31" s="70"/>
      <c r="H31" s="69"/>
      <c r="I31" s="70"/>
      <c r="J31" s="74"/>
      <c r="K31" s="74"/>
      <c r="L31" s="74"/>
      <c r="M31" s="81"/>
      <c r="N31" s="94"/>
      <c r="O31" s="79"/>
      <c r="P31" s="80"/>
      <c r="Q31" s="80"/>
      <c r="R31" s="80"/>
      <c r="S31" s="80"/>
      <c r="T31" s="80"/>
      <c r="U31" s="17"/>
      <c r="V31" s="17"/>
      <c r="W31" s="17"/>
      <c r="X31" s="17"/>
      <c r="Y31" s="17"/>
      <c r="Z31" s="17"/>
      <c r="AA31" s="17"/>
      <c r="AB31" s="22" t="str">
        <f>IF(Y31="","",IFERROR(VLOOKUP(Y31,角色_能力!B:C,2,FALSE),"ERROR"))</f>
        <v/>
      </c>
      <c r="AC31" s="22" t="str">
        <f>IF(Z31="","",IFERROR(VLOOKUP(Z31,角色_能力!B:C,2,FALSE),"ERROR"))</f>
        <v/>
      </c>
      <c r="AD31" s="17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7" t="str">
        <f>IF(AE31="","",IFERROR(VLOOKUP(AE31,角色_装备!B:C,2,FALSE),"ERROR"))</f>
        <v/>
      </c>
      <c r="AR31" s="17" t="str">
        <f>IF(AF31="","",IFERROR(VLOOKUP(AF31,角色_装备!B:C,2,FALSE),"ERROR"))</f>
        <v/>
      </c>
      <c r="AS31" s="17" t="str">
        <f>IF(AG31="","",IFERROR(VLOOKUP(AG31,角色_装备!B:C,2,FALSE),"ERROR"))</f>
        <v/>
      </c>
      <c r="AT31" s="17"/>
      <c r="AU31" s="17"/>
      <c r="AV31" s="17"/>
      <c r="AW31" s="17" t="str">
        <f>IF(AK31="","",IFERROR(VLOOKUP(AK31,角色_装备!B:C,2,FALSE),"ERROR"))</f>
        <v/>
      </c>
      <c r="AX31" s="17" t="str">
        <f>IF(AL31="","",IFERROR(VLOOKUP(AL31,角色_装备!B:C,2,FALSE),"ERROR"))</f>
        <v/>
      </c>
      <c r="AY31" s="17" t="str">
        <f>IF(AM31="","",IFERROR(VLOOKUP(AM31,角色_装备!B:C,2,FALSE),"ERROR"))</f>
        <v/>
      </c>
      <c r="AZ31" s="17"/>
      <c r="BA31" s="17"/>
      <c r="BB31" s="17"/>
    </row>
    <row r="32" spans="1:54">
      <c r="A32" s="5"/>
      <c r="B32" s="31"/>
      <c r="C32" s="31"/>
      <c r="D32" s="31"/>
      <c r="E32" s="65" t="str">
        <f>IF(D32="","",IFERROR(VLOOKUP(D32,角色_种族_友方!B:C,2,FALSE),"ERROR"))</f>
        <v/>
      </c>
      <c r="F32" s="69"/>
      <c r="G32" s="70"/>
      <c r="H32" s="69"/>
      <c r="I32" s="70"/>
      <c r="J32" s="74"/>
      <c r="K32" s="74"/>
      <c r="L32" s="74"/>
      <c r="M32" s="81"/>
      <c r="N32" s="94"/>
      <c r="O32" s="79"/>
      <c r="P32" s="80"/>
      <c r="Q32" s="80"/>
      <c r="R32" s="80"/>
      <c r="S32" s="80"/>
      <c r="T32" s="80"/>
      <c r="U32" s="17"/>
      <c r="V32" s="17"/>
      <c r="W32" s="17"/>
      <c r="X32" s="17"/>
      <c r="Y32" s="17"/>
      <c r="Z32" s="17"/>
      <c r="AA32" s="17"/>
      <c r="AB32" s="22" t="str">
        <f>IF(Y32="","",IFERROR(VLOOKUP(Y32,角色_能力!B:C,2,FALSE),"ERROR"))</f>
        <v/>
      </c>
      <c r="AC32" s="22" t="str">
        <f>IF(Z32="","",IFERROR(VLOOKUP(Z32,角色_能力!B:C,2,FALSE),"ERROR"))</f>
        <v/>
      </c>
      <c r="AD32" s="17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7" t="str">
        <f>IF(AE32="","",IFERROR(VLOOKUP(AE32,角色_装备!B:C,2,FALSE),"ERROR"))</f>
        <v/>
      </c>
      <c r="AR32" s="17" t="str">
        <f>IF(AF32="","",IFERROR(VLOOKUP(AF32,角色_装备!B:C,2,FALSE),"ERROR"))</f>
        <v/>
      </c>
      <c r="AS32" s="17" t="str">
        <f>IF(AG32="","",IFERROR(VLOOKUP(AG32,角色_装备!B:C,2,FALSE),"ERROR"))</f>
        <v/>
      </c>
      <c r="AT32" s="17"/>
      <c r="AU32" s="17"/>
      <c r="AV32" s="17"/>
      <c r="AW32" s="17" t="str">
        <f>IF(AK32="","",IFERROR(VLOOKUP(AK32,角色_装备!B:C,2,FALSE),"ERROR"))</f>
        <v/>
      </c>
      <c r="AX32" s="17" t="str">
        <f>IF(AL32="","",IFERROR(VLOOKUP(AL32,角色_装备!B:C,2,FALSE),"ERROR"))</f>
        <v/>
      </c>
      <c r="AY32" s="17" t="str">
        <f>IF(AM32="","",IFERROR(VLOOKUP(AM32,角色_装备!B:C,2,FALSE),"ERROR"))</f>
        <v/>
      </c>
      <c r="AZ32" s="17"/>
      <c r="BA32" s="17"/>
      <c r="BB32" s="17"/>
    </row>
    <row r="33" spans="1:54">
      <c r="A33" s="5"/>
      <c r="B33" s="31"/>
      <c r="C33" s="31"/>
      <c r="D33" s="31"/>
      <c r="E33" s="65" t="str">
        <f>IF(D33="","",IFERROR(VLOOKUP(D33,角色_种族_友方!B:C,2,FALSE),"ERROR"))</f>
        <v/>
      </c>
      <c r="F33" s="69"/>
      <c r="G33" s="70"/>
      <c r="H33" s="69"/>
      <c r="I33" s="70"/>
      <c r="J33" s="74"/>
      <c r="K33" s="74"/>
      <c r="L33" s="74"/>
      <c r="M33" s="81"/>
      <c r="N33" s="94"/>
      <c r="O33" s="79"/>
      <c r="P33" s="80"/>
      <c r="Q33" s="80"/>
      <c r="R33" s="80"/>
      <c r="S33" s="80"/>
      <c r="T33" s="80"/>
      <c r="U33" s="17"/>
      <c r="V33" s="17"/>
      <c r="W33" s="17"/>
      <c r="X33" s="17"/>
      <c r="Y33" s="17"/>
      <c r="Z33" s="17"/>
      <c r="AA33" s="17"/>
      <c r="AB33" s="22" t="str">
        <f>IF(Y33="","",IFERROR(VLOOKUP(Y33,角色_能力!B:C,2,FALSE),"ERROR"))</f>
        <v/>
      </c>
      <c r="AC33" s="22" t="str">
        <f>IF(Z33="","",IFERROR(VLOOKUP(Z33,角色_能力!B:C,2,FALSE),"ERROR"))</f>
        <v/>
      </c>
      <c r="AD33" s="17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7" t="str">
        <f>IF(AE33="","",IFERROR(VLOOKUP(AE33,角色_装备!B:C,2,FALSE),"ERROR"))</f>
        <v/>
      </c>
      <c r="AR33" s="17" t="str">
        <f>IF(AF33="","",IFERROR(VLOOKUP(AF33,角色_装备!B:C,2,FALSE),"ERROR"))</f>
        <v/>
      </c>
      <c r="AS33" s="17" t="str">
        <f>IF(AG33="","",IFERROR(VLOOKUP(AG33,角色_装备!B:C,2,FALSE),"ERROR"))</f>
        <v/>
      </c>
      <c r="AT33" s="17"/>
      <c r="AU33" s="17"/>
      <c r="AV33" s="17"/>
      <c r="AW33" s="17" t="str">
        <f>IF(AK33="","",IFERROR(VLOOKUP(AK33,角色_装备!B:C,2,FALSE),"ERROR"))</f>
        <v/>
      </c>
      <c r="AX33" s="17" t="str">
        <f>IF(AL33="","",IFERROR(VLOOKUP(AL33,角色_装备!B:C,2,FALSE),"ERROR"))</f>
        <v/>
      </c>
      <c r="AY33" s="17" t="str">
        <f>IF(AM33="","",IFERROR(VLOOKUP(AM33,角色_装备!B:C,2,FALSE),"ERROR"))</f>
        <v/>
      </c>
      <c r="AZ33" s="17"/>
      <c r="BA33" s="17"/>
      <c r="BB33" s="17"/>
    </row>
    <row r="34" spans="1:54">
      <c r="A34" s="5"/>
      <c r="B34" s="31"/>
      <c r="C34" s="31"/>
      <c r="D34" s="31"/>
      <c r="E34" s="65" t="str">
        <f>IF(D34="","",IFERROR(VLOOKUP(D34,角色_种族_友方!B:C,2,FALSE),"ERROR"))</f>
        <v/>
      </c>
      <c r="F34" s="69"/>
      <c r="G34" s="70"/>
      <c r="H34" s="69"/>
      <c r="I34" s="70"/>
      <c r="J34" s="74"/>
      <c r="K34" s="74"/>
      <c r="L34" s="74"/>
      <c r="M34" s="81"/>
      <c r="N34" s="94"/>
      <c r="O34" s="79"/>
      <c r="P34" s="80"/>
      <c r="Q34" s="80"/>
      <c r="R34" s="80"/>
      <c r="S34" s="80"/>
      <c r="T34" s="80"/>
      <c r="U34" s="17"/>
      <c r="V34" s="17"/>
      <c r="W34" s="17"/>
      <c r="X34" s="17"/>
      <c r="Y34" s="17"/>
      <c r="Z34" s="17"/>
      <c r="AA34" s="17"/>
      <c r="AB34" s="22" t="str">
        <f>IF(Y34="","",IFERROR(VLOOKUP(Y34,角色_能力!B:C,2,FALSE),"ERROR"))</f>
        <v/>
      </c>
      <c r="AC34" s="22" t="str">
        <f>IF(Z34="","",IFERROR(VLOOKUP(Z34,角色_能力!B:C,2,FALSE),"ERROR"))</f>
        <v/>
      </c>
      <c r="AD34" s="17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7" t="str">
        <f>IF(AE34="","",IFERROR(VLOOKUP(AE34,角色_装备!B:C,2,FALSE),"ERROR"))</f>
        <v/>
      </c>
      <c r="AR34" s="17" t="str">
        <f>IF(AF34="","",IFERROR(VLOOKUP(AF34,角色_装备!B:C,2,FALSE),"ERROR"))</f>
        <v/>
      </c>
      <c r="AS34" s="17" t="str">
        <f>IF(AG34="","",IFERROR(VLOOKUP(AG34,角色_装备!B:C,2,FALSE),"ERROR"))</f>
        <v/>
      </c>
      <c r="AT34" s="17"/>
      <c r="AU34" s="17"/>
      <c r="AV34" s="17"/>
      <c r="AW34" s="17"/>
      <c r="AX34" s="17" t="str">
        <f>IF(AL34="","",IFERROR(VLOOKUP(AL34,角色_装备!B:C,2,FALSE),"ERROR"))</f>
        <v/>
      </c>
      <c r="AY34" s="17" t="str">
        <f>IF(AM34="","",IFERROR(VLOOKUP(AM34,角色_装备!B:C,2,FALSE),"ERROR"))</f>
        <v/>
      </c>
      <c r="AZ34" s="17"/>
      <c r="BA34" s="17"/>
      <c r="BB34" s="17"/>
    </row>
    <row r="35" spans="1:54">
      <c r="A35" s="5"/>
      <c r="B35" s="31"/>
      <c r="C35" s="31"/>
      <c r="D35" s="31"/>
      <c r="E35" s="65" t="str">
        <f>IF(D35="","",IFERROR(VLOOKUP(D35,角色_种族_友方!B:C,2,FALSE),"ERROR"))</f>
        <v/>
      </c>
      <c r="F35" s="69"/>
      <c r="G35" s="70"/>
      <c r="H35" s="69"/>
      <c r="I35" s="70"/>
      <c r="J35" s="74"/>
      <c r="K35" s="74"/>
      <c r="L35" s="74"/>
      <c r="M35" s="81"/>
      <c r="N35" s="94"/>
      <c r="O35" s="79"/>
      <c r="P35" s="80"/>
      <c r="Q35" s="80"/>
      <c r="R35" s="80"/>
      <c r="S35" s="80"/>
      <c r="T35" s="80"/>
      <c r="U35" s="17"/>
      <c r="V35" s="17"/>
      <c r="W35" s="17"/>
      <c r="X35" s="17"/>
      <c r="Y35" s="17"/>
      <c r="Z35" s="17"/>
      <c r="AA35" s="17"/>
      <c r="AB35" s="22" t="str">
        <f>IF(Y35="","",IFERROR(VLOOKUP(Y35,角色_能力!B:C,2,FALSE),"ERROR"))</f>
        <v/>
      </c>
      <c r="AC35" s="22" t="str">
        <f>IF(Z35="","",IFERROR(VLOOKUP(Z35,角色_能力!B:C,2,FALSE),"ERROR"))</f>
        <v/>
      </c>
      <c r="AD35" s="17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7" t="str">
        <f>IF(AE35="","",IFERROR(VLOOKUP(AE35,角色_装备!B:C,2,FALSE),"ERROR"))</f>
        <v/>
      </c>
      <c r="AR35" s="17" t="str">
        <f>IF(AF35="","",IFERROR(VLOOKUP(AF35,角色_装备!B:C,2,FALSE),"ERROR"))</f>
        <v/>
      </c>
      <c r="AS35" s="17" t="str">
        <f>IF(AG35="","",IFERROR(VLOOKUP(AG35,角色_装备!B:C,2,FALSE),"ERROR"))</f>
        <v/>
      </c>
      <c r="AT35" s="17"/>
      <c r="AU35" s="17"/>
      <c r="AV35" s="17"/>
      <c r="AW35" s="17"/>
      <c r="AX35" s="17" t="str">
        <f>IF(AL35="","",IFERROR(VLOOKUP(AL35,角色_装备!B:C,2,FALSE),"ERROR"))</f>
        <v/>
      </c>
      <c r="AY35" s="17" t="str">
        <f>IF(AM35="","",IFERROR(VLOOKUP(AM35,角色_装备!B:C,2,FALSE),"ERROR"))</f>
        <v/>
      </c>
      <c r="AZ35" s="17"/>
      <c r="BA35" s="17"/>
      <c r="BB35" s="17"/>
    </row>
    <row r="36" spans="1:54">
      <c r="A36" s="5"/>
      <c r="B36" s="31"/>
      <c r="C36" s="31"/>
      <c r="D36" s="31"/>
      <c r="E36" s="65" t="str">
        <f>IF(D36="","",IFERROR(VLOOKUP(D36,角色_种族_友方!B:C,2,FALSE),"ERROR"))</f>
        <v/>
      </c>
      <c r="F36" s="69"/>
      <c r="G36" s="70"/>
      <c r="H36" s="69"/>
      <c r="I36" s="70"/>
      <c r="J36" s="74"/>
      <c r="K36" s="74"/>
      <c r="L36" s="74"/>
      <c r="M36" s="81"/>
      <c r="N36" s="94"/>
      <c r="O36" s="79"/>
      <c r="P36" s="80"/>
      <c r="Q36" s="80"/>
      <c r="R36" s="80"/>
      <c r="S36" s="80"/>
      <c r="T36" s="80"/>
      <c r="U36" s="17"/>
      <c r="V36" s="17"/>
      <c r="W36" s="17"/>
      <c r="X36" s="17"/>
      <c r="Y36" s="17"/>
      <c r="Z36" s="17"/>
      <c r="AA36" s="17"/>
      <c r="AB36" s="22" t="str">
        <f>IF(Y36="","",IFERROR(VLOOKUP(Y36,角色_能力!B:C,2,FALSE),"ERROR"))</f>
        <v/>
      </c>
      <c r="AC36" s="22" t="str">
        <f>IF(Z36="","",IFERROR(VLOOKUP(Z36,角色_能力!B:C,2,FALSE),"ERROR"))</f>
        <v/>
      </c>
      <c r="AD36" s="17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7" t="str">
        <f>IF(AE36="","",IFERROR(VLOOKUP(AE36,角色_装备!B:C,2,FALSE),"ERROR"))</f>
        <v/>
      </c>
      <c r="AR36" s="17" t="str">
        <f>IF(AF36="","",IFERROR(VLOOKUP(AF36,角色_装备!B:C,2,FALSE),"ERROR"))</f>
        <v/>
      </c>
      <c r="AS36" s="17" t="str">
        <f>IF(AG36="","",IFERROR(VLOOKUP(AG36,角色_装备!B:C,2,FALSE),"ERROR"))</f>
        <v/>
      </c>
      <c r="AT36" s="17"/>
      <c r="AU36" s="17"/>
      <c r="AV36" s="17"/>
      <c r="AW36" s="17"/>
      <c r="AX36" s="17" t="str">
        <f>IF(AL36="","",IFERROR(VLOOKUP(AL36,角色_装备!B:C,2,FALSE),"ERROR"))</f>
        <v/>
      </c>
      <c r="AY36" s="17" t="str">
        <f>IF(AM36="","",IFERROR(VLOOKUP(AM36,角色_装备!B:C,2,FALSE),"ERROR"))</f>
        <v/>
      </c>
      <c r="AZ36" s="17"/>
      <c r="BA36" s="17"/>
      <c r="BB36" s="17"/>
    </row>
    <row r="37" spans="1:54">
      <c r="A37" s="5"/>
      <c r="B37" s="31"/>
      <c r="C37" s="31"/>
      <c r="D37" s="31"/>
      <c r="E37" s="65" t="str">
        <f>IF(D37="","",IFERROR(VLOOKUP(D37,角色_种族_友方!B:C,2,FALSE),"ERROR"))</f>
        <v/>
      </c>
      <c r="F37" s="69"/>
      <c r="G37" s="70"/>
      <c r="H37" s="69"/>
      <c r="I37" s="70"/>
      <c r="J37" s="74"/>
      <c r="K37" s="74"/>
      <c r="L37" s="74"/>
      <c r="M37" s="81"/>
      <c r="N37" s="94"/>
      <c r="O37" s="79"/>
      <c r="P37" s="80"/>
      <c r="Q37" s="80"/>
      <c r="R37" s="80"/>
      <c r="S37" s="80"/>
      <c r="T37" s="80"/>
      <c r="U37" s="17"/>
      <c r="V37" s="17"/>
      <c r="W37" s="17"/>
      <c r="X37" s="17"/>
      <c r="Y37" s="17"/>
      <c r="Z37" s="17"/>
      <c r="AA37" s="17"/>
      <c r="AB37" s="22" t="str">
        <f>IF(Y37="","",IFERROR(VLOOKUP(Y37,角色_能力!B:C,2,FALSE),"ERROR"))</f>
        <v/>
      </c>
      <c r="AC37" s="22" t="str">
        <f>IF(Z37="","",IFERROR(VLOOKUP(Z37,角色_能力!B:C,2,FALSE),"ERROR"))</f>
        <v/>
      </c>
      <c r="AD37" s="17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7" t="str">
        <f>IF(AE37="","",IFERROR(VLOOKUP(AE37,角色_装备!B:C,2,FALSE),"ERROR"))</f>
        <v/>
      </c>
      <c r="AR37" s="17" t="str">
        <f>IF(AF37="","",IFERROR(VLOOKUP(AF37,角色_装备!B:C,2,FALSE),"ERROR"))</f>
        <v/>
      </c>
      <c r="AS37" s="17" t="str">
        <f>IF(AG37="","",IFERROR(VLOOKUP(AG37,角色_装备!B:C,2,FALSE),"ERROR"))</f>
        <v/>
      </c>
      <c r="AT37" s="17"/>
      <c r="AU37" s="17"/>
      <c r="AV37" s="17"/>
      <c r="AW37" s="17"/>
      <c r="AX37" s="17" t="str">
        <f>IF(AL37="","",IFERROR(VLOOKUP(AL37,角色_装备!B:C,2,FALSE),"ERROR"))</f>
        <v/>
      </c>
      <c r="AY37" s="17" t="str">
        <f>IF(AM37="","",IFERROR(VLOOKUP(AM37,角色_装备!B:C,2,FALSE),"ERROR"))</f>
        <v/>
      </c>
      <c r="AZ37" s="17"/>
      <c r="BA37" s="17"/>
      <c r="BB37" s="17"/>
    </row>
    <row r="38" spans="1:54">
      <c r="A38" s="5"/>
      <c r="B38" s="31"/>
      <c r="C38" s="31"/>
      <c r="D38" s="31"/>
      <c r="E38" s="65" t="str">
        <f>IF(D38="","",IFERROR(VLOOKUP(D38,角色_种族_友方!B:C,2,FALSE),"ERROR"))</f>
        <v/>
      </c>
      <c r="F38" s="69"/>
      <c r="G38" s="70"/>
      <c r="H38" s="69"/>
      <c r="I38" s="70"/>
      <c r="J38" s="74"/>
      <c r="K38" s="74"/>
      <c r="L38" s="74"/>
      <c r="M38" s="81"/>
      <c r="N38" s="94"/>
      <c r="O38" s="79"/>
      <c r="P38" s="80"/>
      <c r="Q38" s="80"/>
      <c r="R38" s="80"/>
      <c r="S38" s="80"/>
      <c r="T38" s="80"/>
      <c r="U38" s="17"/>
      <c r="V38" s="17"/>
      <c r="W38" s="17"/>
      <c r="X38" s="17"/>
      <c r="Y38" s="17"/>
      <c r="Z38" s="17"/>
      <c r="AA38" s="17"/>
      <c r="AB38" s="22" t="str">
        <f>IF(Y38="","",IFERROR(VLOOKUP(Y38,角色_能力!B:C,2,FALSE),"ERROR"))</f>
        <v/>
      </c>
      <c r="AC38" s="22" t="str">
        <f>IF(Z38="","",IFERROR(VLOOKUP(Z38,角色_能力!B:C,2,FALSE),"ERROR"))</f>
        <v/>
      </c>
      <c r="AD38" s="17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7" t="str">
        <f>IF(AE38="","",IFERROR(VLOOKUP(AE38,角色_装备!B:C,2,FALSE),"ERROR"))</f>
        <v/>
      </c>
      <c r="AR38" s="17" t="str">
        <f>IF(AF38="","",IFERROR(VLOOKUP(AF38,角色_装备!B:C,2,FALSE),"ERROR"))</f>
        <v/>
      </c>
      <c r="AS38" s="17" t="str">
        <f>IF(AG38="","",IFERROR(VLOOKUP(AG38,角色_装备!B:C,2,FALSE),"ERROR"))</f>
        <v/>
      </c>
      <c r="AT38" s="17"/>
      <c r="AU38" s="17"/>
      <c r="AV38" s="17"/>
      <c r="AW38" s="17"/>
      <c r="AX38" s="17" t="str">
        <f>IF(AL38="","",IFERROR(VLOOKUP(AL38,角色_装备!B:C,2,FALSE),"ERROR"))</f>
        <v/>
      </c>
      <c r="AY38" s="17" t="str">
        <f>IF(AM38="","",IFERROR(VLOOKUP(AM38,角色_装备!B:C,2,FALSE),"ERROR"))</f>
        <v/>
      </c>
      <c r="AZ38" s="17"/>
      <c r="BA38" s="17"/>
      <c r="BB38" s="17"/>
    </row>
    <row r="39" spans="1:54">
      <c r="A39" s="5"/>
      <c r="B39" s="31"/>
      <c r="C39" s="31"/>
      <c r="D39" s="31"/>
      <c r="E39" s="65" t="str">
        <f>IF(D39="","",IFERROR(VLOOKUP(D39,角色_种族_友方!B:C,2,FALSE),"ERROR"))</f>
        <v/>
      </c>
      <c r="F39" s="69"/>
      <c r="G39" s="70"/>
      <c r="H39" s="69"/>
      <c r="I39" s="70"/>
      <c r="J39" s="74"/>
      <c r="K39" s="74"/>
      <c r="L39" s="74"/>
      <c r="M39" s="81"/>
      <c r="N39" s="94"/>
      <c r="O39" s="79"/>
      <c r="P39" s="80"/>
      <c r="Q39" s="80"/>
      <c r="R39" s="80"/>
      <c r="S39" s="80"/>
      <c r="T39" s="80"/>
      <c r="U39" s="17"/>
      <c r="V39" s="17"/>
      <c r="W39" s="17"/>
      <c r="X39" s="17"/>
      <c r="Y39" s="17"/>
      <c r="Z39" s="17"/>
      <c r="AA39" s="17"/>
      <c r="AB39" s="22" t="str">
        <f>IF(Y39="","",IFERROR(VLOOKUP(Y39,角色_能力!B:C,2,FALSE),"ERROR"))</f>
        <v/>
      </c>
      <c r="AC39" s="22" t="str">
        <f>IF(Z39="","",IFERROR(VLOOKUP(Z39,角色_能力!B:C,2,FALSE),"ERROR"))</f>
        <v/>
      </c>
      <c r="AD39" s="17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7" t="str">
        <f>IF(AE39="","",IFERROR(VLOOKUP(AE39,角色_装备!B:C,2,FALSE),"ERROR"))</f>
        <v/>
      </c>
      <c r="AR39" s="17" t="str">
        <f>IF(AF39="","",IFERROR(VLOOKUP(AF39,角色_装备!B:C,2,FALSE),"ERROR"))</f>
        <v/>
      </c>
      <c r="AS39" s="17" t="str">
        <f>IF(AG39="","",IFERROR(VLOOKUP(AG39,角色_装备!B:C,2,FALSE),"ERROR"))</f>
        <v/>
      </c>
      <c r="AT39" s="17"/>
      <c r="AU39" s="17"/>
      <c r="AV39" s="17"/>
      <c r="AW39" s="17"/>
      <c r="AX39" s="17"/>
      <c r="AY39" s="17" t="str">
        <f>IF(AM39="","",IFERROR(VLOOKUP(AM39,角色_装备!B:C,2,FALSE),"ERROR"))</f>
        <v/>
      </c>
      <c r="AZ39" s="17"/>
      <c r="BA39" s="17"/>
      <c r="BB39" s="17"/>
    </row>
    <row r="40" spans="1:54">
      <c r="A40" s="5"/>
      <c r="B40" s="31"/>
      <c r="C40" s="31"/>
      <c r="D40" s="31"/>
      <c r="E40" s="65" t="str">
        <f>IF(D40="","",IFERROR(VLOOKUP(D40,角色_种族_友方!B:C,2,FALSE),"ERROR"))</f>
        <v/>
      </c>
      <c r="F40" s="69"/>
      <c r="G40" s="70"/>
      <c r="H40" s="69"/>
      <c r="I40" s="70"/>
      <c r="J40" s="74"/>
      <c r="K40" s="74"/>
      <c r="L40" s="74"/>
      <c r="M40" s="81"/>
      <c r="N40" s="94"/>
      <c r="O40" s="79"/>
      <c r="P40" s="80"/>
      <c r="Q40" s="80"/>
      <c r="R40" s="80"/>
      <c r="S40" s="80"/>
      <c r="T40" s="80"/>
      <c r="U40" s="17"/>
      <c r="V40" s="17"/>
      <c r="W40" s="17"/>
      <c r="X40" s="17"/>
      <c r="Y40" s="17"/>
      <c r="Z40" s="17"/>
      <c r="AA40" s="17"/>
      <c r="AB40" s="22" t="str">
        <f>IF(Y40="","",IFERROR(VLOOKUP(Y40,角色_能力!B:C,2,FALSE),"ERROR"))</f>
        <v/>
      </c>
      <c r="AC40" s="22" t="str">
        <f>IF(Z40="","",IFERROR(VLOOKUP(Z40,角色_能力!B:C,2,FALSE),"ERROR"))</f>
        <v/>
      </c>
      <c r="AD40" s="17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7" t="str">
        <f>IF(AE40="","",IFERROR(VLOOKUP(AE40,角色_装备!B:C,2,FALSE),"ERROR"))</f>
        <v/>
      </c>
      <c r="AR40" s="17" t="str">
        <f>IF(AF40="","",IFERROR(VLOOKUP(AF40,角色_装备!B:C,2,FALSE),"ERROR"))</f>
        <v/>
      </c>
      <c r="AS40" s="17" t="str">
        <f>IF(AG40="","",IFERROR(VLOOKUP(AG40,角色_装备!B:C,2,FALSE),"ERROR"))</f>
        <v/>
      </c>
      <c r="AT40" s="17"/>
      <c r="AU40" s="17"/>
      <c r="AV40" s="17"/>
      <c r="AW40" s="17"/>
      <c r="AX40" s="17"/>
      <c r="AY40" s="17" t="str">
        <f>IF(AM40="","",IFERROR(VLOOKUP(AM40,角色_装备!B:C,2,FALSE),"ERROR"))</f>
        <v/>
      </c>
      <c r="AZ40" s="17"/>
      <c r="BA40" s="17"/>
      <c r="BB40" s="17"/>
    </row>
    <row r="41" spans="1:54">
      <c r="A41" s="5"/>
      <c r="B41" s="31"/>
      <c r="C41" s="31"/>
      <c r="D41" s="31"/>
      <c r="E41" s="65" t="str">
        <f>IF(D41="","",IFERROR(VLOOKUP(D41,角色_种族_友方!B:C,2,FALSE),"ERROR"))</f>
        <v/>
      </c>
      <c r="F41" s="69"/>
      <c r="G41" s="70"/>
      <c r="H41" s="69"/>
      <c r="I41" s="70"/>
      <c r="J41" s="74"/>
      <c r="K41" s="74"/>
      <c r="L41" s="74"/>
      <c r="M41" s="81"/>
      <c r="N41" s="94"/>
      <c r="O41" s="79"/>
      <c r="P41" s="80"/>
      <c r="Q41" s="80"/>
      <c r="R41" s="80"/>
      <c r="S41" s="80"/>
      <c r="T41" s="80"/>
      <c r="U41" s="17"/>
      <c r="V41" s="17"/>
      <c r="W41" s="17"/>
      <c r="X41" s="17"/>
      <c r="Y41" s="17"/>
      <c r="Z41" s="17"/>
      <c r="AA41" s="17"/>
      <c r="AB41" s="22" t="str">
        <f>IF(Y41="","",IFERROR(VLOOKUP(Y41,角色_能力!B:C,2,FALSE),"ERROR"))</f>
        <v/>
      </c>
      <c r="AC41" s="22" t="str">
        <f>IF(Z41="","",IFERROR(VLOOKUP(Z41,角色_能力!B:C,2,FALSE),"ERROR"))</f>
        <v/>
      </c>
      <c r="AD41" s="17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 t="str">
        <f>IF(AE41="","",IFERROR(VLOOKUP(AE41,角色_装备!B:C,2,FALSE),"ERROR"))</f>
        <v/>
      </c>
      <c r="AR41" s="17" t="str">
        <f>IF(AF41="","",IFERROR(VLOOKUP(AF41,角色_装备!B:C,2,FALSE),"ERROR"))</f>
        <v/>
      </c>
      <c r="AS41" s="17" t="str">
        <f>IF(AG41="","",IFERROR(VLOOKUP(AG41,角色_装备!B:C,2,FALSE),"ERROR"))</f>
        <v/>
      </c>
      <c r="AT41" s="17"/>
      <c r="AU41" s="17"/>
      <c r="AV41" s="17"/>
      <c r="AW41" s="17"/>
      <c r="AX41" s="17"/>
      <c r="AY41" s="17"/>
      <c r="AZ41" s="17"/>
      <c r="BA41" s="17"/>
      <c r="BB41" s="17"/>
    </row>
    <row r="42" spans="1:54">
      <c r="A42" s="5"/>
      <c r="B42" s="31"/>
      <c r="C42" s="31"/>
      <c r="D42" s="31"/>
      <c r="E42" s="65" t="str">
        <f>IF(D42="","",IFERROR(VLOOKUP(D42,角色_种族_友方!B:C,2,FALSE),"ERROR"))</f>
        <v/>
      </c>
      <c r="F42" s="69"/>
      <c r="G42" s="70"/>
      <c r="H42" s="69"/>
      <c r="I42" s="70"/>
      <c r="J42" s="74"/>
      <c r="K42" s="74"/>
      <c r="L42" s="74"/>
      <c r="M42" s="81"/>
      <c r="N42" s="94"/>
      <c r="O42" s="79"/>
      <c r="P42" s="80"/>
      <c r="Q42" s="80"/>
      <c r="R42" s="80"/>
      <c r="S42" s="80"/>
      <c r="T42" s="80"/>
      <c r="U42" s="17"/>
      <c r="V42" s="17"/>
      <c r="W42" s="17"/>
      <c r="X42" s="17"/>
      <c r="Y42" s="17"/>
      <c r="Z42" s="17"/>
      <c r="AA42" s="17"/>
      <c r="AB42" s="22" t="str">
        <f>IF(Y42="","",IFERROR(VLOOKUP(Y42,角色_能力!B:C,2,FALSE),"ERROR"))</f>
        <v/>
      </c>
      <c r="AC42" s="22" t="str">
        <f>IF(Z42="","",IFERROR(VLOOKUP(Z42,角色_能力!B:C,2,FALSE),"ERROR"))</f>
        <v/>
      </c>
      <c r="AD42" s="17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7" t="str">
        <f>IF(AE42="","",IFERROR(VLOOKUP(AE42,角色_装备!B:C,2,FALSE),"ERROR"))</f>
        <v/>
      </c>
      <c r="AR42" s="17" t="str">
        <f>IF(AF42="","",IFERROR(VLOOKUP(AF42,角色_装备!B:C,2,FALSE),"ERROR"))</f>
        <v/>
      </c>
      <c r="AS42" s="17" t="str">
        <f>IF(AG42="","",IFERROR(VLOOKUP(AG42,角色_装备!B:C,2,FALSE),"ERROR"))</f>
        <v/>
      </c>
      <c r="AT42" s="17"/>
      <c r="AU42" s="17"/>
      <c r="AV42" s="17"/>
      <c r="AW42" s="17"/>
      <c r="AX42" s="17"/>
      <c r="AY42" s="17"/>
      <c r="AZ42" s="17"/>
      <c r="BA42" s="17"/>
      <c r="BB42" s="17"/>
    </row>
    <row r="43" spans="1:54">
      <c r="A43" s="5"/>
      <c r="B43" s="31"/>
      <c r="C43" s="31"/>
      <c r="D43" s="31"/>
      <c r="E43" s="65" t="str">
        <f>IF(D43="","",IFERROR(VLOOKUP(D43,角色_种族_友方!B:C,2,FALSE),"ERROR"))</f>
        <v/>
      </c>
      <c r="F43" s="69"/>
      <c r="G43" s="70"/>
      <c r="H43" s="69"/>
      <c r="I43" s="70"/>
      <c r="J43" s="74"/>
      <c r="K43" s="74"/>
      <c r="L43" s="74"/>
      <c r="M43" s="81"/>
      <c r="N43" s="94"/>
      <c r="O43" s="79"/>
      <c r="P43" s="80"/>
      <c r="Q43" s="80"/>
      <c r="R43" s="80"/>
      <c r="S43" s="80"/>
      <c r="T43" s="80"/>
      <c r="U43" s="17"/>
      <c r="V43" s="17"/>
      <c r="W43" s="17"/>
      <c r="X43" s="17"/>
      <c r="Y43" s="17"/>
      <c r="Z43" s="17"/>
      <c r="AA43" s="17"/>
      <c r="AB43" s="22" t="str">
        <f>IF(Y43="","",IFERROR(VLOOKUP(Y43,角色_能力!B:C,2,FALSE),"ERROR"))</f>
        <v/>
      </c>
      <c r="AC43" s="22" t="str">
        <f>IF(Z43="","",IFERROR(VLOOKUP(Z43,角色_能力!B:C,2,FALSE),"ERROR"))</f>
        <v/>
      </c>
      <c r="AD43" s="17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7" t="str">
        <f>IF(AE43="","",IFERROR(VLOOKUP(AE43,角色_装备!B:C,2,FALSE),"ERROR"))</f>
        <v/>
      </c>
      <c r="AR43" s="17" t="str">
        <f>IF(AF43="","",IFERROR(VLOOKUP(AF43,角色_装备!B:C,2,FALSE),"ERROR"))</f>
        <v/>
      </c>
      <c r="AS43" s="17" t="str">
        <f>IF(AG43="","",IFERROR(VLOOKUP(AG43,角色_装备!B:C,2,FALSE),"ERROR"))</f>
        <v/>
      </c>
      <c r="AT43" s="17"/>
      <c r="AU43" s="17"/>
      <c r="AV43" s="17"/>
      <c r="AW43" s="17"/>
      <c r="AX43" s="17"/>
      <c r="AY43" s="17"/>
      <c r="AZ43" s="17"/>
      <c r="BA43" s="17"/>
      <c r="BB43" s="17"/>
    </row>
    <row r="44" spans="1:54">
      <c r="A44" s="5"/>
      <c r="B44" s="31"/>
      <c r="C44" s="31"/>
      <c r="D44" s="31"/>
      <c r="E44" s="65" t="str">
        <f>IF(D44="","",IFERROR(VLOOKUP(D44,角色_种族_友方!B:C,2,FALSE),"ERROR"))</f>
        <v/>
      </c>
      <c r="F44" s="69"/>
      <c r="G44" s="70"/>
      <c r="H44" s="69"/>
      <c r="I44" s="70"/>
      <c r="J44" s="74"/>
      <c r="K44" s="74"/>
      <c r="L44" s="74"/>
      <c r="M44" s="81"/>
      <c r="N44" s="94"/>
      <c r="O44" s="79"/>
      <c r="P44" s="80"/>
      <c r="Q44" s="80"/>
      <c r="R44" s="80"/>
      <c r="S44" s="80"/>
      <c r="T44" s="80"/>
      <c r="U44" s="17"/>
      <c r="V44" s="17"/>
      <c r="W44" s="17"/>
      <c r="X44" s="17"/>
      <c r="Y44" s="17"/>
      <c r="Z44" s="17"/>
      <c r="AA44" s="17"/>
      <c r="AB44" s="22" t="str">
        <f>IF(Y44="","",IFERROR(VLOOKUP(Y44,角色_能力!B:C,2,FALSE),"ERROR"))</f>
        <v/>
      </c>
      <c r="AC44" s="22" t="str">
        <f>IF(Z44="","",IFERROR(VLOOKUP(Z44,角色_能力!B:C,2,FALSE),"ERROR"))</f>
        <v/>
      </c>
      <c r="AD44" s="17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7" t="str">
        <f>IF(AE44="","",IFERROR(VLOOKUP(AE44,角色_装备!B:C,2,FALSE),"ERROR"))</f>
        <v/>
      </c>
      <c r="AR44" s="17" t="str">
        <f>IF(AF44="","",IFERROR(VLOOKUP(AF44,角色_装备!B:C,2,FALSE),"ERROR"))</f>
        <v/>
      </c>
      <c r="AS44" s="17" t="str">
        <f>IF(AG44="","",IFERROR(VLOOKUP(AG44,角色_装备!B:C,2,FALSE),"ERROR"))</f>
        <v/>
      </c>
      <c r="AT44" s="17"/>
      <c r="AU44" s="17"/>
      <c r="AV44" s="17"/>
      <c r="AW44" s="17"/>
      <c r="AX44" s="17"/>
      <c r="AY44" s="17"/>
      <c r="AZ44" s="17"/>
      <c r="BA44" s="17"/>
      <c r="BB44" s="17"/>
    </row>
    <row r="45" spans="1:54">
      <c r="A45" s="5"/>
      <c r="B45" s="31"/>
      <c r="C45" s="31"/>
      <c r="D45" s="31"/>
      <c r="E45" s="65" t="str">
        <f>IF(D45="","",IFERROR(VLOOKUP(D45,角色_种族_友方!B:C,2,FALSE),"ERROR"))</f>
        <v/>
      </c>
      <c r="F45" s="69"/>
      <c r="G45" s="70"/>
      <c r="H45" s="69"/>
      <c r="I45" s="70"/>
      <c r="J45" s="74"/>
      <c r="K45" s="74"/>
      <c r="L45" s="74"/>
      <c r="M45" s="81"/>
      <c r="N45" s="94"/>
      <c r="O45" s="79"/>
      <c r="P45" s="80"/>
      <c r="Q45" s="80"/>
      <c r="R45" s="80"/>
      <c r="S45" s="80"/>
      <c r="T45" s="80"/>
      <c r="U45" s="17"/>
      <c r="V45" s="17"/>
      <c r="W45" s="17"/>
      <c r="X45" s="17"/>
      <c r="Y45" s="17"/>
      <c r="Z45" s="17"/>
      <c r="AA45" s="17"/>
      <c r="AB45" s="22" t="str">
        <f>IF(Y45="","",IFERROR(VLOOKUP(Y45,角色_能力!B:C,2,FALSE),"ERROR"))</f>
        <v/>
      </c>
      <c r="AC45" s="22" t="str">
        <f>IF(Z45="","",IFERROR(VLOOKUP(Z45,角色_能力!B:C,2,FALSE),"ERROR"))</f>
        <v/>
      </c>
      <c r="AD45" s="17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 t="str">
        <f>IF(AE45="","",IFERROR(VLOOKUP(AE45,角色_装备!B:C,2,FALSE),"ERROR"))</f>
        <v/>
      </c>
      <c r="AR45" s="17" t="str">
        <f>IF(AF45="","",IFERROR(VLOOKUP(AF45,角色_装备!B:C,2,FALSE),"ERROR"))</f>
        <v/>
      </c>
      <c r="AS45" s="17" t="str">
        <f>IF(AG45="","",IFERROR(VLOOKUP(AG45,角色_装备!B:C,2,FALSE),"ERROR"))</f>
        <v/>
      </c>
      <c r="AT45" s="17"/>
      <c r="AU45" s="17"/>
      <c r="AV45" s="17"/>
      <c r="AW45" s="17"/>
      <c r="AX45" s="17"/>
      <c r="AY45" s="17"/>
      <c r="AZ45" s="17"/>
      <c r="BA45" s="17"/>
      <c r="BB45" s="17"/>
    </row>
    <row r="46" spans="1:54">
      <c r="A46" s="5"/>
      <c r="B46" s="31"/>
      <c r="C46" s="31"/>
      <c r="D46" s="31"/>
      <c r="E46" s="65" t="str">
        <f>IF(D46="","",IFERROR(VLOOKUP(D46,角色_种族_友方!B:C,2,FALSE),"ERROR"))</f>
        <v/>
      </c>
      <c r="F46" s="69"/>
      <c r="G46" s="70"/>
      <c r="H46" s="69"/>
      <c r="I46" s="70"/>
      <c r="J46" s="74"/>
      <c r="K46" s="74"/>
      <c r="L46" s="74"/>
      <c r="M46" s="81"/>
      <c r="N46" s="94"/>
      <c r="O46" s="79"/>
      <c r="P46" s="80"/>
      <c r="Q46" s="80"/>
      <c r="R46" s="80"/>
      <c r="S46" s="80"/>
      <c r="T46" s="80"/>
      <c r="U46" s="17"/>
      <c r="V46" s="17"/>
      <c r="W46" s="17"/>
      <c r="X46" s="17"/>
      <c r="Y46" s="17"/>
      <c r="Z46" s="17"/>
      <c r="AA46" s="17"/>
      <c r="AB46" s="22" t="str">
        <f>IF(Y46="","",IFERROR(VLOOKUP(Y46,角色_能力!B:C,2,FALSE),"ERROR"))</f>
        <v/>
      </c>
      <c r="AC46" s="22" t="str">
        <f>IF(Z46="","",IFERROR(VLOOKUP(Z46,角色_能力!B:C,2,FALSE),"ERROR"))</f>
        <v/>
      </c>
      <c r="AD46" s="17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7" t="str">
        <f>IF(AE46="","",IFERROR(VLOOKUP(AE46,角色_装备!B:C,2,FALSE),"ERROR"))</f>
        <v/>
      </c>
      <c r="AR46" s="17" t="str">
        <f>IF(AF46="","",IFERROR(VLOOKUP(AF46,角色_装备!B:C,2,FALSE),"ERROR"))</f>
        <v/>
      </c>
      <c r="AS46" s="17" t="str">
        <f>IF(AG46="","",IFERROR(VLOOKUP(AG46,角色_装备!B:C,2,FALSE),"ERROR"))</f>
        <v/>
      </c>
      <c r="AT46" s="17"/>
      <c r="AU46" s="17"/>
      <c r="AV46" s="17"/>
      <c r="AW46" s="17"/>
      <c r="AX46" s="17"/>
      <c r="AY46" s="17"/>
      <c r="AZ46" s="17"/>
      <c r="BA46" s="17"/>
      <c r="BB46" s="17"/>
    </row>
    <row r="47" spans="1:54">
      <c r="A47" s="5"/>
      <c r="B47" s="31"/>
      <c r="C47" s="31"/>
      <c r="D47" s="31"/>
      <c r="E47" s="65" t="str">
        <f>IF(D47="","",IFERROR(VLOOKUP(D47,角色_种族_友方!B:C,2,FALSE),"ERROR"))</f>
        <v/>
      </c>
      <c r="F47" s="69"/>
      <c r="G47" s="70"/>
      <c r="H47" s="74"/>
      <c r="I47" s="70"/>
      <c r="J47" s="74"/>
      <c r="K47" s="74"/>
      <c r="L47" s="74"/>
      <c r="M47" s="81"/>
      <c r="N47" s="94"/>
      <c r="O47" s="79"/>
      <c r="P47" s="80"/>
      <c r="Q47" s="80"/>
      <c r="R47" s="80"/>
      <c r="S47" s="80"/>
      <c r="T47" s="80"/>
      <c r="U47" s="17"/>
      <c r="V47" s="17"/>
      <c r="W47" s="17"/>
      <c r="X47" s="17"/>
      <c r="Y47" s="17"/>
      <c r="Z47" s="17"/>
      <c r="AA47" s="17"/>
      <c r="AB47" s="22" t="str">
        <f>IF(Y47="","",IFERROR(VLOOKUP(Y47,角色_能力!B:C,2,FALSE),"ERROR"))</f>
        <v/>
      </c>
      <c r="AC47" s="17"/>
      <c r="AD47" s="17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7" t="str">
        <f>IF(AE47="","",IFERROR(VLOOKUP(AE47,角色_装备!B:C,2,FALSE),"ERROR"))</f>
        <v/>
      </c>
      <c r="AR47" s="17" t="str">
        <f>IF(AF47="","",IFERROR(VLOOKUP(AF47,角色_装备!B:C,2,FALSE),"ERROR"))</f>
        <v/>
      </c>
      <c r="AS47" s="17" t="str">
        <f>IF(AG47="","",IFERROR(VLOOKUP(AG47,角色_装备!B:C,2,FALSE),"ERROR"))</f>
        <v/>
      </c>
      <c r="AT47" s="17"/>
      <c r="AU47" s="17"/>
      <c r="AV47" s="17"/>
      <c r="AW47" s="17"/>
      <c r="AX47" s="17"/>
      <c r="AY47" s="17"/>
      <c r="AZ47" s="17"/>
      <c r="BA47" s="17"/>
      <c r="BB47" s="17"/>
    </row>
    <row r="48" spans="1:54">
      <c r="A48" s="5"/>
      <c r="B48" s="31"/>
      <c r="C48" s="31"/>
      <c r="D48" s="31"/>
      <c r="E48" s="65" t="str">
        <f>IF(D48="","",IFERROR(VLOOKUP(D48,角色_种族_友方!B:C,2,FALSE),"ERROR"))</f>
        <v/>
      </c>
      <c r="F48" s="69"/>
      <c r="G48" s="70"/>
      <c r="H48" s="74"/>
      <c r="I48" s="70"/>
      <c r="J48" s="74"/>
      <c r="K48" s="74"/>
      <c r="L48" s="74"/>
      <c r="M48" s="81"/>
      <c r="N48" s="94"/>
      <c r="O48" s="79"/>
      <c r="P48" s="80"/>
      <c r="Q48" s="80"/>
      <c r="R48" s="80"/>
      <c r="S48" s="80"/>
      <c r="T48" s="80"/>
      <c r="U48" s="17"/>
      <c r="V48" s="17"/>
      <c r="W48" s="17"/>
      <c r="X48" s="17"/>
      <c r="Y48" s="17"/>
      <c r="Z48" s="17"/>
      <c r="AA48" s="17"/>
      <c r="AB48" s="22" t="str">
        <f>IF(Y48="","",IFERROR(VLOOKUP(Y48,角色_能力!B:C,2,FALSE),"ERROR"))</f>
        <v/>
      </c>
      <c r="AC48" s="17"/>
      <c r="AD48" s="17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7" t="str">
        <f>IF(AE48="","",IFERROR(VLOOKUP(AE48,角色_装备!B:C,2,FALSE),"ERROR"))</f>
        <v/>
      </c>
      <c r="AR48" s="17" t="str">
        <f>IF(AF48="","",IFERROR(VLOOKUP(AF48,角色_装备!B:C,2,FALSE),"ERROR"))</f>
        <v/>
      </c>
      <c r="AS48" s="17" t="str">
        <f>IF(AG48="","",IFERROR(VLOOKUP(AG48,角色_装备!B:C,2,FALSE),"ERROR"))</f>
        <v/>
      </c>
      <c r="AT48" s="17"/>
      <c r="AU48" s="17"/>
      <c r="AV48" s="17"/>
      <c r="AW48" s="17"/>
      <c r="AX48" s="17"/>
      <c r="AY48" s="17"/>
      <c r="AZ48" s="17"/>
      <c r="BA48" s="17"/>
      <c r="BB48" s="17"/>
    </row>
    <row r="49" spans="1:54">
      <c r="A49" s="5"/>
      <c r="B49" s="31"/>
      <c r="C49" s="31"/>
      <c r="D49" s="31"/>
      <c r="E49" s="65" t="str">
        <f>IF(D49="","",IFERROR(VLOOKUP(D49,角色_种族_友方!B:C,2,FALSE),"ERROR"))</f>
        <v/>
      </c>
      <c r="F49" s="69"/>
      <c r="G49" s="70"/>
      <c r="H49" s="74"/>
      <c r="I49" s="70"/>
      <c r="J49" s="74"/>
      <c r="K49" s="74"/>
      <c r="L49" s="74"/>
      <c r="M49" s="81"/>
      <c r="N49" s="94"/>
      <c r="O49" s="79"/>
      <c r="P49" s="80"/>
      <c r="Q49" s="80"/>
      <c r="R49" s="80"/>
      <c r="S49" s="80"/>
      <c r="T49" s="80"/>
      <c r="U49" s="17"/>
      <c r="V49" s="17"/>
      <c r="W49" s="17"/>
      <c r="X49" s="17"/>
      <c r="Y49" s="17"/>
      <c r="Z49" s="17"/>
      <c r="AA49" s="17"/>
      <c r="AB49" s="22" t="str">
        <f>IF(Y49="","",IFERROR(VLOOKUP(Y49,角色_能力!B:C,2,FALSE),"ERROR"))</f>
        <v/>
      </c>
      <c r="AC49" s="17"/>
      <c r="AD49" s="17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7" t="str">
        <f>IF(AE49="","",IFERROR(VLOOKUP(AE49,角色_装备!B:C,2,FALSE),"ERROR"))</f>
        <v/>
      </c>
      <c r="AR49" s="17" t="str">
        <f>IF(AF49="","",IFERROR(VLOOKUP(AF49,角色_装备!B:C,2,FALSE),"ERROR"))</f>
        <v/>
      </c>
      <c r="AS49" s="17" t="str">
        <f>IF(AG49="","",IFERROR(VLOOKUP(AG49,角色_装备!B:C,2,FALSE),"ERROR"))</f>
        <v/>
      </c>
      <c r="AT49" s="17"/>
      <c r="AU49" s="17"/>
      <c r="AV49" s="17"/>
      <c r="AW49" s="17"/>
      <c r="AX49" s="17"/>
      <c r="AY49" s="17"/>
      <c r="AZ49" s="17"/>
      <c r="BA49" s="17"/>
      <c r="BB49" s="17"/>
    </row>
    <row r="50" spans="1:54">
      <c r="A50" s="5"/>
      <c r="B50" s="31"/>
      <c r="C50" s="31"/>
      <c r="D50" s="31"/>
      <c r="E50" s="65" t="str">
        <f>IF(D50="","",IFERROR(VLOOKUP(D50,角色_种族_友方!B:C,2,FALSE),"ERROR"))</f>
        <v/>
      </c>
      <c r="F50" s="69"/>
      <c r="G50" s="70"/>
      <c r="H50" s="74"/>
      <c r="I50" s="70"/>
      <c r="J50" s="74"/>
      <c r="K50" s="74"/>
      <c r="L50" s="74"/>
      <c r="M50" s="81"/>
      <c r="N50" s="94"/>
      <c r="O50" s="79"/>
      <c r="P50" s="80"/>
      <c r="Q50" s="80"/>
      <c r="R50" s="80"/>
      <c r="S50" s="80"/>
      <c r="T50" s="80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7" t="str">
        <f>IF(AE50="","",IFERROR(VLOOKUP(AE50,角色_装备!B:C,2,FALSE),"ERROR"))</f>
        <v/>
      </c>
      <c r="AR50" s="17" t="str">
        <f>IF(AF50="","",IFERROR(VLOOKUP(AF50,角色_装备!B:C,2,FALSE),"ERROR"))</f>
        <v/>
      </c>
      <c r="AS50" s="17" t="str">
        <f>IF(AG50="","",IFERROR(VLOOKUP(AG50,角色_装备!B:C,2,FALSE),"ERROR"))</f>
        <v/>
      </c>
      <c r="AT50" s="17"/>
      <c r="AU50" s="17"/>
      <c r="AV50" s="17"/>
      <c r="AW50" s="17"/>
      <c r="AX50" s="17"/>
      <c r="AY50" s="17"/>
      <c r="AZ50" s="17"/>
      <c r="BA50" s="17"/>
      <c r="BB50" s="17"/>
    </row>
    <row r="51" spans="1:54">
      <c r="A51" s="5"/>
      <c r="B51" s="31"/>
      <c r="C51" s="31"/>
      <c r="D51" s="31"/>
      <c r="E51" s="65" t="str">
        <f>IF(D51="","",IFERROR(VLOOKUP(D51,角色_种族_友方!B:C,2,FALSE),"ERROR"))</f>
        <v/>
      </c>
      <c r="F51" s="74"/>
      <c r="G51" s="70"/>
      <c r="H51" s="74"/>
      <c r="I51" s="70"/>
      <c r="J51" s="74"/>
      <c r="K51" s="74"/>
      <c r="L51" s="74"/>
      <c r="M51" s="81"/>
      <c r="N51" s="94"/>
      <c r="O51" s="79"/>
      <c r="P51" s="80"/>
      <c r="Q51" s="80"/>
      <c r="R51" s="80"/>
      <c r="S51" s="80"/>
      <c r="T51" s="80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7" t="str">
        <f>IF(AE51="","",IFERROR(VLOOKUP(AE51,角色_装备!B:C,2,FALSE),"ERROR"))</f>
        <v/>
      </c>
      <c r="AR51" s="17" t="str">
        <f>IF(AF51="","",IFERROR(VLOOKUP(AF51,角色_装备!B:C,2,FALSE),"ERROR"))</f>
        <v/>
      </c>
      <c r="AS51" s="17" t="str">
        <f>IF(AG51="","",IFERROR(VLOOKUP(AG51,角色_装备!B:C,2,FALSE),"ERROR"))</f>
        <v/>
      </c>
      <c r="AT51" s="17"/>
      <c r="AU51" s="17"/>
      <c r="AV51" s="17"/>
      <c r="AW51" s="17"/>
      <c r="AX51" s="17"/>
      <c r="AY51" s="17"/>
      <c r="AZ51" s="17"/>
      <c r="BA51" s="17"/>
      <c r="BB51" s="17"/>
    </row>
    <row r="52" spans="1:54">
      <c r="A52" s="5"/>
      <c r="B52" s="31"/>
      <c r="C52" s="31"/>
      <c r="D52" s="31"/>
      <c r="E52" s="65" t="str">
        <f>IF(D52="","",IFERROR(VLOOKUP(D52,角色_种族_友方!B:C,2,FALSE),"ERROR"))</f>
        <v/>
      </c>
      <c r="F52" s="74"/>
      <c r="G52" s="70"/>
      <c r="H52" s="74"/>
      <c r="I52" s="70"/>
      <c r="J52" s="74"/>
      <c r="K52" s="74"/>
      <c r="L52" s="74"/>
      <c r="M52" s="81"/>
      <c r="N52" s="94"/>
      <c r="O52" s="79"/>
      <c r="P52" s="80"/>
      <c r="Q52" s="80"/>
      <c r="R52" s="80"/>
      <c r="S52" s="80"/>
      <c r="T52" s="80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7" t="str">
        <f>IF(AE52="","",IFERROR(VLOOKUP(AE52,角色_装备!B:C,2,FALSE),"ERROR"))</f>
        <v/>
      </c>
      <c r="AR52" s="17" t="str">
        <f>IF(AF52="","",IFERROR(VLOOKUP(AF52,角色_装备!B:C,2,FALSE),"ERROR"))</f>
        <v/>
      </c>
      <c r="AS52" s="17" t="str">
        <f>IF(AG52="","",IFERROR(VLOOKUP(AG52,角色_装备!B:C,2,FALSE),"ERROR"))</f>
        <v/>
      </c>
      <c r="AT52" s="17"/>
      <c r="AU52" s="17"/>
      <c r="AV52" s="17"/>
      <c r="AW52" s="17"/>
      <c r="AX52" s="17"/>
      <c r="AY52" s="17"/>
      <c r="AZ52" s="17"/>
      <c r="BA52" s="17"/>
      <c r="BB52" s="17"/>
    </row>
    <row r="53" spans="1:54">
      <c r="A53" s="5"/>
      <c r="B53" s="31"/>
      <c r="C53" s="31"/>
      <c r="D53" s="31"/>
      <c r="E53" s="65" t="str">
        <f>IF(D53="","",IFERROR(VLOOKUP(D53,角色_种族_友方!B:C,2,FALSE),"ERROR"))</f>
        <v/>
      </c>
      <c r="F53" s="74"/>
      <c r="G53" s="70"/>
      <c r="H53" s="74"/>
      <c r="I53" s="70"/>
      <c r="J53" s="74"/>
      <c r="K53" s="74"/>
      <c r="L53" s="74"/>
      <c r="M53" s="81"/>
      <c r="N53" s="94"/>
      <c r="O53" s="79"/>
      <c r="P53" s="80"/>
      <c r="Q53" s="80"/>
      <c r="R53" s="80"/>
      <c r="S53" s="80"/>
      <c r="T53" s="80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7" t="str">
        <f>IF(AE53="","",IFERROR(VLOOKUP(AE53,角色_装备!B:C,2,FALSE),"ERROR"))</f>
        <v/>
      </c>
      <c r="AR53" s="17" t="str">
        <f>IF(AF53="","",IFERROR(VLOOKUP(AF53,角色_装备!B:C,2,FALSE),"ERROR"))</f>
        <v/>
      </c>
      <c r="AS53" s="17" t="str">
        <f>IF(AG53="","",IFERROR(VLOOKUP(AG53,角色_装备!B:C,2,FALSE),"ERROR"))</f>
        <v/>
      </c>
      <c r="AT53" s="17"/>
      <c r="AU53" s="17"/>
      <c r="AV53" s="17"/>
      <c r="AW53" s="17"/>
      <c r="AX53" s="17"/>
      <c r="AY53" s="17"/>
      <c r="AZ53" s="17"/>
      <c r="BA53" s="17"/>
      <c r="BB53" s="17"/>
    </row>
    <row r="54" spans="1:54">
      <c r="A54" s="5"/>
      <c r="B54" s="31"/>
      <c r="C54" s="31"/>
      <c r="D54" s="31"/>
      <c r="E54" s="65" t="str">
        <f>IF(D54="","",IFERROR(VLOOKUP(D54,角色_种族_友方!B:C,2,FALSE),"ERROR"))</f>
        <v/>
      </c>
      <c r="F54" s="74"/>
      <c r="G54" s="70"/>
      <c r="H54" s="74"/>
      <c r="I54" s="70"/>
      <c r="J54" s="74"/>
      <c r="K54" s="74"/>
      <c r="L54" s="74"/>
      <c r="M54" s="81"/>
      <c r="N54" s="94"/>
      <c r="O54" s="79"/>
      <c r="P54" s="80"/>
      <c r="Q54" s="80"/>
      <c r="R54" s="80"/>
      <c r="S54" s="80"/>
      <c r="T54" s="80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 t="str">
        <f>IF(AE54="","",IFERROR(VLOOKUP(AE54,角色_装备!B:C,2,FALSE),"ERROR"))</f>
        <v/>
      </c>
      <c r="AR54" s="17" t="str">
        <f>IF(AF54="","",IFERROR(VLOOKUP(AF54,角色_装备!B:C,2,FALSE),"ERROR"))</f>
        <v/>
      </c>
      <c r="AS54" s="17" t="str">
        <f>IF(AG54="","",IFERROR(VLOOKUP(AG54,角色_装备!B:C,2,FALSE),"ERROR"))</f>
        <v/>
      </c>
      <c r="AT54" s="17"/>
      <c r="AU54" s="17"/>
      <c r="AV54" s="17"/>
      <c r="AW54" s="17"/>
      <c r="AX54" s="17"/>
      <c r="AY54" s="17"/>
      <c r="AZ54" s="17"/>
      <c r="BA54" s="17"/>
      <c r="BB54" s="17"/>
    </row>
    <row r="55" spans="1:54">
      <c r="A55" s="5"/>
      <c r="B55" s="31"/>
      <c r="C55" s="31"/>
      <c r="D55" s="31"/>
      <c r="E55" s="65" t="str">
        <f>IF(D55="","",IFERROR(VLOOKUP(D55,角色_种族_友方!B:C,2,FALSE),"ERROR"))</f>
        <v/>
      </c>
      <c r="F55" s="74"/>
      <c r="G55" s="70"/>
      <c r="H55" s="74"/>
      <c r="I55" s="70"/>
      <c r="J55" s="74"/>
      <c r="K55" s="74"/>
      <c r="L55" s="74"/>
      <c r="M55" s="81"/>
      <c r="N55" s="94"/>
      <c r="O55" s="79"/>
      <c r="P55" s="80"/>
      <c r="Q55" s="80"/>
      <c r="R55" s="80"/>
      <c r="S55" s="80"/>
      <c r="T55" s="80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7" t="str">
        <f>IF(AE55="","",IFERROR(VLOOKUP(AE55,角色_装备!B:C,2,FALSE),"ERROR"))</f>
        <v/>
      </c>
      <c r="AR55" s="17" t="str">
        <f>IF(AF55="","",IFERROR(VLOOKUP(AF55,角色_装备!B:C,2,FALSE),"ERROR"))</f>
        <v/>
      </c>
      <c r="AS55" s="17" t="str">
        <f>IF(AG55="","",IFERROR(VLOOKUP(AG55,角色_装备!B:C,2,FALSE),"ERROR"))</f>
        <v/>
      </c>
      <c r="AT55" s="17"/>
      <c r="AU55" s="17"/>
      <c r="AV55" s="17"/>
      <c r="AW55" s="17"/>
      <c r="AX55" s="17"/>
      <c r="AY55" s="17"/>
      <c r="AZ55" s="17"/>
      <c r="BA55" s="17"/>
      <c r="BB55" s="17"/>
    </row>
    <row r="56" spans="1:54">
      <c r="A56" s="5"/>
      <c r="B56" s="31"/>
      <c r="C56" s="31"/>
      <c r="D56" s="31"/>
      <c r="E56" s="65" t="str">
        <f>IF(D56="","",IFERROR(VLOOKUP(D56,角色_种族_友方!B:C,2,FALSE),"ERROR"))</f>
        <v/>
      </c>
      <c r="F56" s="74"/>
      <c r="G56" s="70"/>
      <c r="H56" s="74"/>
      <c r="I56" s="70"/>
      <c r="J56" s="74"/>
      <c r="K56" s="74"/>
      <c r="L56" s="74"/>
      <c r="M56" s="81"/>
      <c r="N56" s="94"/>
      <c r="O56" s="79"/>
      <c r="P56" s="80"/>
      <c r="Q56" s="80"/>
      <c r="R56" s="80"/>
      <c r="S56" s="80"/>
      <c r="T56" s="80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7" t="str">
        <f>IF(AE56="","",IFERROR(VLOOKUP(AE56,角色_装备!B:C,2,FALSE),"ERROR"))</f>
        <v/>
      </c>
      <c r="AR56" s="17" t="str">
        <f>IF(AF56="","",IFERROR(VLOOKUP(AF56,角色_装备!B:C,2,FALSE),"ERROR"))</f>
        <v/>
      </c>
      <c r="AS56" s="17" t="str">
        <f>IF(AG56="","",IFERROR(VLOOKUP(AG56,角色_装备!B:C,2,FALSE),"ERROR"))</f>
        <v/>
      </c>
      <c r="AT56" s="17"/>
      <c r="AU56" s="17"/>
      <c r="AV56" s="17"/>
      <c r="AW56" s="17"/>
      <c r="AX56" s="17"/>
      <c r="AY56" s="17"/>
      <c r="AZ56" s="17"/>
      <c r="BA56" s="17"/>
      <c r="BB56" s="17"/>
    </row>
    <row r="57" spans="1:54">
      <c r="A57" s="5"/>
      <c r="B57" s="31"/>
      <c r="C57" s="31"/>
      <c r="D57" s="31"/>
      <c r="E57" s="65" t="str">
        <f>IF(D57="","",IFERROR(VLOOKUP(D57,角色_种族_友方!B:C,2,FALSE),"ERROR"))</f>
        <v/>
      </c>
      <c r="F57" s="74"/>
      <c r="G57" s="70"/>
      <c r="H57" s="74"/>
      <c r="I57" s="70"/>
      <c r="J57" s="74"/>
      <c r="K57" s="74"/>
      <c r="L57" s="74"/>
      <c r="M57" s="81"/>
      <c r="N57" s="94"/>
      <c r="O57" s="79"/>
      <c r="P57" s="80"/>
      <c r="Q57" s="80"/>
      <c r="R57" s="80"/>
      <c r="S57" s="80"/>
      <c r="T57" s="80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7" t="str">
        <f>IF(AE57="","",IFERROR(VLOOKUP(AE57,角色_装备!B:C,2,FALSE),"ERROR"))</f>
        <v/>
      </c>
      <c r="AR57" s="17" t="str">
        <f>IF(AF57="","",IFERROR(VLOOKUP(AF57,角色_装备!B:C,2,FALSE),"ERROR"))</f>
        <v/>
      </c>
      <c r="AS57" s="17" t="str">
        <f>IF(AG57="","",IFERROR(VLOOKUP(AG57,角色_装备!B:C,2,FALSE),"ERROR"))</f>
        <v/>
      </c>
      <c r="AT57" s="17"/>
      <c r="AU57" s="17"/>
      <c r="AV57" s="17"/>
      <c r="AW57" s="17"/>
      <c r="AX57" s="17"/>
      <c r="AY57" s="17"/>
      <c r="AZ57" s="17"/>
      <c r="BA57" s="17"/>
      <c r="BB57" s="17"/>
    </row>
    <row r="58" spans="1:54">
      <c r="A58" s="5"/>
      <c r="B58" s="31"/>
      <c r="C58" s="31"/>
      <c r="D58" s="31"/>
      <c r="E58" s="65" t="str">
        <f>IF(D58="","",IFERROR(VLOOKUP(D58,角色_种族_友方!B:C,2,FALSE),"ERROR"))</f>
        <v/>
      </c>
      <c r="F58" s="74"/>
      <c r="G58" s="70"/>
      <c r="H58" s="74"/>
      <c r="I58" s="70"/>
      <c r="J58" s="74"/>
      <c r="K58" s="74"/>
      <c r="L58" s="74"/>
      <c r="M58" s="81"/>
      <c r="N58" s="94"/>
      <c r="O58" s="79"/>
      <c r="P58" s="80"/>
      <c r="Q58" s="80"/>
      <c r="R58" s="80"/>
      <c r="S58" s="80"/>
      <c r="T58" s="80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7" t="str">
        <f>IF(AE58="","",IFERROR(VLOOKUP(AE58,角色_装备!B:C,2,FALSE),"ERROR"))</f>
        <v/>
      </c>
      <c r="AR58" s="17" t="str">
        <f>IF(AF58="","",IFERROR(VLOOKUP(AF58,角色_装备!B:C,2,FALSE),"ERROR"))</f>
        <v/>
      </c>
      <c r="AS58" s="17" t="str">
        <f>IF(AG58="","",IFERROR(VLOOKUP(AG58,角色_装备!B:C,2,FALSE),"ERROR"))</f>
        <v/>
      </c>
      <c r="AT58" s="17"/>
      <c r="AU58" s="17"/>
      <c r="AV58" s="17"/>
      <c r="AW58" s="17"/>
      <c r="AX58" s="17"/>
      <c r="AY58" s="17"/>
      <c r="AZ58" s="17"/>
      <c r="BA58" s="17"/>
      <c r="BB58" s="17"/>
    </row>
    <row r="59" spans="1:54">
      <c r="A59" s="5"/>
      <c r="B59" s="31"/>
      <c r="C59" s="31"/>
      <c r="D59" s="31"/>
      <c r="E59" s="65" t="str">
        <f>IF(D59="","",IFERROR(VLOOKUP(D59,角色_种族_友方!B:C,2,FALSE),"ERROR"))</f>
        <v/>
      </c>
      <c r="F59" s="74"/>
      <c r="G59" s="70"/>
      <c r="H59" s="74"/>
      <c r="I59" s="70"/>
      <c r="J59" s="74"/>
      <c r="K59" s="74"/>
      <c r="L59" s="74"/>
      <c r="M59" s="81"/>
      <c r="N59" s="94"/>
      <c r="O59" s="79"/>
      <c r="P59" s="80"/>
      <c r="Q59" s="80"/>
      <c r="R59" s="80"/>
      <c r="S59" s="80"/>
      <c r="T59" s="80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7" t="str">
        <f>IF(AE59="","",IFERROR(VLOOKUP(AE59,角色_装备!B:C,2,FALSE),"ERROR"))</f>
        <v/>
      </c>
      <c r="AR59" s="17" t="str">
        <f>IF(AF59="","",IFERROR(VLOOKUP(AF59,角色_装备!B:C,2,FALSE),"ERROR"))</f>
        <v/>
      </c>
      <c r="AS59" s="17" t="str">
        <f>IF(AG59="","",IFERROR(VLOOKUP(AG59,角色_装备!B:C,2,FALSE),"ERROR"))</f>
        <v/>
      </c>
      <c r="AT59" s="17"/>
      <c r="AU59" s="17"/>
      <c r="AV59" s="17"/>
      <c r="AW59" s="17"/>
      <c r="AX59" s="17"/>
      <c r="AY59" s="17"/>
      <c r="AZ59" s="17"/>
      <c r="BA59" s="17"/>
      <c r="BB59" s="17"/>
    </row>
    <row r="60" spans="1:54">
      <c r="A60" s="5"/>
      <c r="B60" s="31"/>
      <c r="C60" s="31"/>
      <c r="D60" s="31"/>
      <c r="E60" s="65" t="str">
        <f>IF(D60="","",IFERROR(VLOOKUP(D60,角色_种族_友方!B:C,2,FALSE),"ERROR"))</f>
        <v/>
      </c>
      <c r="F60" s="74"/>
      <c r="G60" s="70"/>
      <c r="H60" s="74"/>
      <c r="I60" s="70"/>
      <c r="J60" s="74"/>
      <c r="K60" s="74"/>
      <c r="L60" s="74"/>
      <c r="M60" s="81"/>
      <c r="N60" s="94"/>
      <c r="O60" s="79"/>
      <c r="P60" s="80"/>
      <c r="Q60" s="80"/>
      <c r="R60" s="80"/>
      <c r="S60" s="80"/>
      <c r="T60" s="80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7" t="str">
        <f>IF(AE60="","",IFERROR(VLOOKUP(AE60,角色_装备!B:C,2,FALSE),"ERROR"))</f>
        <v/>
      </c>
      <c r="AR60" s="17" t="str">
        <f>IF(AF60="","",IFERROR(VLOOKUP(AF60,角色_装备!B:C,2,FALSE),"ERROR"))</f>
        <v/>
      </c>
      <c r="AS60" s="17" t="str">
        <f>IF(AG60="","",IFERROR(VLOOKUP(AG60,角色_装备!B:C,2,FALSE),"ERROR"))</f>
        <v/>
      </c>
      <c r="AT60" s="17"/>
      <c r="AU60" s="17"/>
      <c r="AV60" s="17"/>
      <c r="AW60" s="17"/>
      <c r="AX60" s="17"/>
      <c r="AY60" s="17"/>
      <c r="AZ60" s="17"/>
      <c r="BA60" s="17"/>
      <c r="BB60" s="17"/>
    </row>
    <row r="61" spans="1:54">
      <c r="A61" s="5"/>
      <c r="B61" s="31"/>
      <c r="C61" s="31"/>
      <c r="D61" s="31"/>
      <c r="E61" s="65" t="str">
        <f>IF(D61="","",IFERROR(VLOOKUP(D61,角色_种族_友方!B:C,2,FALSE),"ERROR"))</f>
        <v/>
      </c>
      <c r="F61" s="74"/>
      <c r="G61" s="70"/>
      <c r="H61" s="74"/>
      <c r="I61" s="70"/>
      <c r="J61" s="74"/>
      <c r="K61" s="74"/>
      <c r="L61" s="74"/>
      <c r="M61" s="81"/>
      <c r="N61" s="94"/>
      <c r="O61" s="79"/>
      <c r="P61" s="80"/>
      <c r="Q61" s="80"/>
      <c r="R61" s="80"/>
      <c r="S61" s="80"/>
      <c r="T61" s="80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7" t="str">
        <f>IF(AE61="","",IFERROR(VLOOKUP(AE61,角色_装备!B:C,2,FALSE),"ERROR"))</f>
        <v/>
      </c>
      <c r="AR61" s="17" t="str">
        <f>IF(AF61="","",IFERROR(VLOOKUP(AF61,角色_装备!B:C,2,FALSE),"ERROR"))</f>
        <v/>
      </c>
      <c r="AS61" s="17" t="str">
        <f>IF(AG61="","",IFERROR(VLOOKUP(AG61,角色_装备!B:C,2,FALSE),"ERROR"))</f>
        <v/>
      </c>
      <c r="AT61" s="17"/>
      <c r="AU61" s="17"/>
      <c r="AV61" s="17"/>
      <c r="AW61" s="17"/>
      <c r="AX61" s="17"/>
      <c r="AY61" s="17"/>
      <c r="AZ61" s="17"/>
      <c r="BA61" s="17"/>
      <c r="BB61" s="17"/>
    </row>
    <row r="62" spans="1:54">
      <c r="A62" s="5"/>
      <c r="B62" s="31"/>
      <c r="C62" s="31"/>
      <c r="D62" s="31"/>
      <c r="E62" s="65" t="str">
        <f>IF(D62="","",IFERROR(VLOOKUP(D62,角色_种族_友方!B:C,2,FALSE),"ERROR"))</f>
        <v/>
      </c>
      <c r="F62" s="74"/>
      <c r="G62" s="70"/>
      <c r="H62" s="74"/>
      <c r="I62" s="70"/>
      <c r="J62" s="74"/>
      <c r="K62" s="74"/>
      <c r="L62" s="74"/>
      <c r="M62" s="81"/>
      <c r="N62" s="94"/>
      <c r="O62" s="79"/>
      <c r="P62" s="80"/>
      <c r="Q62" s="80"/>
      <c r="R62" s="80"/>
      <c r="S62" s="80"/>
      <c r="T62" s="80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7" t="str">
        <f>IF(AE62="","",IFERROR(VLOOKUP(AE62,角色_装备!B:C,2,FALSE),"ERROR"))</f>
        <v/>
      </c>
      <c r="AR62" s="17" t="str">
        <f>IF(AF62="","",IFERROR(VLOOKUP(AF62,角色_装备!B:C,2,FALSE),"ERROR"))</f>
        <v/>
      </c>
      <c r="AS62" s="17" t="str">
        <f>IF(AG62="","",IFERROR(VLOOKUP(AG62,角色_装备!B:C,2,FALSE),"ERROR"))</f>
        <v/>
      </c>
      <c r="AT62" s="17"/>
      <c r="AU62" s="17"/>
      <c r="AV62" s="17"/>
      <c r="AW62" s="17"/>
      <c r="AX62" s="17"/>
      <c r="AY62" s="17"/>
      <c r="AZ62" s="17"/>
      <c r="BA62" s="17"/>
      <c r="BB62" s="17"/>
    </row>
    <row r="63" spans="1:54">
      <c r="A63" s="5"/>
      <c r="B63" s="31"/>
      <c r="C63" s="31"/>
      <c r="D63" s="31"/>
      <c r="E63" s="65" t="str">
        <f>IF(D63="","",IFERROR(VLOOKUP(D63,角色_种族_友方!B:C,2,FALSE),"ERROR"))</f>
        <v/>
      </c>
      <c r="F63" s="74"/>
      <c r="G63" s="70"/>
      <c r="H63" s="74"/>
      <c r="I63" s="70"/>
      <c r="J63" s="74"/>
      <c r="K63" s="74"/>
      <c r="L63" s="74"/>
      <c r="M63" s="81"/>
      <c r="N63" s="94"/>
      <c r="O63" s="79"/>
      <c r="P63" s="80"/>
      <c r="Q63" s="80"/>
      <c r="R63" s="80"/>
      <c r="S63" s="80"/>
      <c r="T63" s="80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7" t="str">
        <f>IF(AE63="","",IFERROR(VLOOKUP(AE63,角色_装备!B:C,2,FALSE),"ERROR"))</f>
        <v/>
      </c>
      <c r="AR63" s="17" t="str">
        <f>IF(AF63="","",IFERROR(VLOOKUP(AF63,角色_装备!B:C,2,FALSE),"ERROR"))</f>
        <v/>
      </c>
      <c r="AS63" s="17" t="str">
        <f>IF(AG63="","",IFERROR(VLOOKUP(AG63,角色_装备!B:C,2,FALSE),"ERROR"))</f>
        <v/>
      </c>
      <c r="AT63" s="17"/>
      <c r="AU63" s="17"/>
      <c r="AV63" s="17"/>
      <c r="AW63" s="17"/>
      <c r="AX63" s="17"/>
      <c r="AY63" s="17"/>
      <c r="AZ63" s="17"/>
      <c r="BA63" s="17"/>
      <c r="BB63" s="17"/>
    </row>
    <row r="64" spans="1:54">
      <c r="A64" s="5"/>
      <c r="B64" s="31"/>
      <c r="C64" s="31"/>
      <c r="D64" s="31"/>
      <c r="E64" s="65" t="str">
        <f>IF(D64="","",IFERROR(VLOOKUP(D64,角色_种族_友方!B:C,2,FALSE),"ERROR"))</f>
        <v/>
      </c>
      <c r="F64" s="74"/>
      <c r="G64" s="70"/>
      <c r="H64" s="74"/>
      <c r="I64" s="70"/>
      <c r="J64" s="74"/>
      <c r="K64" s="74"/>
      <c r="L64" s="74"/>
      <c r="M64" s="81"/>
      <c r="N64" s="94"/>
      <c r="O64" s="79"/>
      <c r="P64" s="80"/>
      <c r="Q64" s="80"/>
      <c r="R64" s="80"/>
      <c r="S64" s="80"/>
      <c r="T64" s="80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7" t="str">
        <f>IF(AE64="","",IFERROR(VLOOKUP(AE64,角色_装备!B:C,2,FALSE),"ERROR"))</f>
        <v/>
      </c>
      <c r="AR64" s="17" t="str">
        <f>IF(AF64="","",IFERROR(VLOOKUP(AF64,角色_装备!B:C,2,FALSE),"ERROR"))</f>
        <v/>
      </c>
      <c r="AS64" s="17" t="str">
        <f>IF(AG64="","",IFERROR(VLOOKUP(AG64,角色_装备!B:C,2,FALSE),"ERROR"))</f>
        <v/>
      </c>
      <c r="AT64" s="17"/>
      <c r="AU64" s="17"/>
      <c r="AV64" s="17"/>
      <c r="AW64" s="17"/>
      <c r="AX64" s="17"/>
      <c r="AY64" s="17"/>
      <c r="AZ64" s="17"/>
      <c r="BA64" s="17"/>
      <c r="BB64" s="17"/>
    </row>
    <row r="65" spans="1:54">
      <c r="A65" s="5"/>
      <c r="B65" s="31"/>
      <c r="C65" s="31"/>
      <c r="D65" s="31"/>
      <c r="E65" s="65" t="str">
        <f>IF(D65="","",IFERROR(VLOOKUP(D65,角色_种族_友方!B:C,2,FALSE),"ERROR"))</f>
        <v/>
      </c>
      <c r="F65" s="74"/>
      <c r="G65" s="70"/>
      <c r="H65" s="74"/>
      <c r="I65" s="70"/>
      <c r="J65" s="74"/>
      <c r="K65" s="74"/>
      <c r="L65" s="74"/>
      <c r="M65" s="81"/>
      <c r="N65" s="94"/>
      <c r="O65" s="79"/>
      <c r="P65" s="80"/>
      <c r="Q65" s="80"/>
      <c r="R65" s="80"/>
      <c r="S65" s="80"/>
      <c r="T65" s="80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7" t="str">
        <f>IF(AE65="","",IFERROR(VLOOKUP(AE65,角色_装备!B:C,2,FALSE),"ERROR"))</f>
        <v/>
      </c>
      <c r="AR65" s="17" t="str">
        <f>IF(AF65="","",IFERROR(VLOOKUP(AF65,角色_装备!B:C,2,FALSE),"ERROR"))</f>
        <v/>
      </c>
      <c r="AS65" s="17" t="str">
        <f>IF(AG65="","",IFERROR(VLOOKUP(AG65,角色_装备!B:C,2,FALSE),"ERROR"))</f>
        <v/>
      </c>
      <c r="AT65" s="17"/>
      <c r="AU65" s="17"/>
      <c r="AV65" s="17"/>
      <c r="AW65" s="17"/>
      <c r="AX65" s="17"/>
      <c r="AY65" s="17"/>
      <c r="AZ65" s="17"/>
      <c r="BA65" s="17"/>
      <c r="BB65" s="17"/>
    </row>
    <row r="66" spans="1:54">
      <c r="A66" s="5"/>
      <c r="B66" s="31"/>
      <c r="C66" s="31"/>
      <c r="D66" s="31"/>
      <c r="E66" s="65" t="str">
        <f>IF(D66="","",IFERROR(VLOOKUP(D66,角色_种族_友方!B:C,2,FALSE),"ERROR"))</f>
        <v/>
      </c>
      <c r="F66" s="74"/>
      <c r="G66" s="70"/>
      <c r="H66" s="74"/>
      <c r="I66" s="70"/>
      <c r="J66" s="74"/>
      <c r="K66" s="74"/>
      <c r="L66" s="74"/>
      <c r="M66" s="81"/>
      <c r="N66" s="94"/>
      <c r="O66" s="79"/>
      <c r="P66" s="80"/>
      <c r="Q66" s="80"/>
      <c r="R66" s="80"/>
      <c r="S66" s="80"/>
      <c r="T66" s="80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7" t="str">
        <f>IF(AE66="","",IFERROR(VLOOKUP(AE66,角色_装备!B:C,2,FALSE),"ERROR"))</f>
        <v/>
      </c>
      <c r="AR66" s="17" t="str">
        <f>IF(AF66="","",IFERROR(VLOOKUP(AF66,角色_装备!B:C,2,FALSE),"ERROR"))</f>
        <v/>
      </c>
      <c r="AS66" s="17" t="str">
        <f>IF(AG66="","",IFERROR(VLOOKUP(AG66,角色_装备!B:C,2,FALSE),"ERROR"))</f>
        <v/>
      </c>
      <c r="AT66" s="17"/>
      <c r="AU66" s="17"/>
      <c r="AV66" s="17"/>
      <c r="AW66" s="17"/>
      <c r="AX66" s="17"/>
      <c r="AY66" s="17"/>
      <c r="AZ66" s="17"/>
      <c r="BA66" s="17"/>
      <c r="BB66" s="17"/>
    </row>
    <row r="67" spans="1:54">
      <c r="A67" s="5"/>
      <c r="B67" s="31"/>
      <c r="C67" s="31"/>
      <c r="D67" s="31"/>
      <c r="E67" s="65" t="str">
        <f>IF(D67="","",IFERROR(VLOOKUP(D67,角色_种族_友方!B:C,2,FALSE),"ERROR"))</f>
        <v/>
      </c>
      <c r="F67" s="74"/>
      <c r="G67" s="70"/>
      <c r="H67" s="74"/>
      <c r="I67" s="70"/>
      <c r="J67" s="74"/>
      <c r="K67" s="74"/>
      <c r="L67" s="74"/>
      <c r="M67" s="81"/>
      <c r="N67" s="94"/>
      <c r="O67" s="79"/>
      <c r="P67" s="80"/>
      <c r="Q67" s="80"/>
      <c r="R67" s="80"/>
      <c r="S67" s="80"/>
      <c r="T67" s="80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7" t="str">
        <f>IF(AE67="","",IFERROR(VLOOKUP(AE67,角色_装备!B:C,2,FALSE),"ERROR"))</f>
        <v/>
      </c>
      <c r="AR67" s="17" t="str">
        <f>IF(AF67="","",IFERROR(VLOOKUP(AF67,角色_装备!B:C,2,FALSE),"ERROR"))</f>
        <v/>
      </c>
      <c r="AS67" s="17" t="str">
        <f>IF(AG67="","",IFERROR(VLOOKUP(AG67,角色_装备!B:C,2,FALSE),"ERROR"))</f>
        <v/>
      </c>
      <c r="AT67" s="17"/>
      <c r="AU67" s="17"/>
      <c r="AV67" s="17"/>
      <c r="AW67" s="17"/>
      <c r="AX67" s="17"/>
      <c r="AY67" s="17"/>
      <c r="AZ67" s="17"/>
      <c r="BA67" s="17"/>
      <c r="BB67" s="17"/>
    </row>
    <row r="68" spans="1:54">
      <c r="A68" s="5"/>
      <c r="B68" s="31"/>
      <c r="C68" s="31"/>
      <c r="D68" s="31"/>
      <c r="E68" s="65" t="str">
        <f>IF(D68="","",IFERROR(VLOOKUP(D68,角色_种族_友方!B:C,2,FALSE),"ERROR"))</f>
        <v/>
      </c>
      <c r="F68" s="74"/>
      <c r="G68" s="70"/>
      <c r="H68" s="74"/>
      <c r="I68" s="70"/>
      <c r="J68" s="74"/>
      <c r="K68" s="74"/>
      <c r="L68" s="74"/>
      <c r="M68" s="81"/>
      <c r="N68" s="94"/>
      <c r="O68" s="79"/>
      <c r="P68" s="80"/>
      <c r="Q68" s="80"/>
      <c r="R68" s="80"/>
      <c r="S68" s="80"/>
      <c r="T68" s="80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7" t="str">
        <f>IF(AE68="","",IFERROR(VLOOKUP(AE68,角色_装备!B:C,2,FALSE),"ERROR"))</f>
        <v/>
      </c>
      <c r="AR68" s="17" t="str">
        <f>IF(AF68="","",IFERROR(VLOOKUP(AF68,角色_装备!B:C,2,FALSE),"ERROR"))</f>
        <v/>
      </c>
      <c r="AS68" s="17" t="str">
        <f>IF(AG68="","",IFERROR(VLOOKUP(AG68,角色_装备!B:C,2,FALSE),"ERROR"))</f>
        <v/>
      </c>
      <c r="AT68" s="17"/>
      <c r="AU68" s="17"/>
      <c r="AV68" s="17"/>
      <c r="AW68" s="17"/>
      <c r="AX68" s="17"/>
      <c r="AY68" s="17"/>
      <c r="AZ68" s="17"/>
      <c r="BA68" s="17"/>
      <c r="BB68" s="17"/>
    </row>
  </sheetData>
  <sheetProtection formatCells="0" formatColumns="0" formatRows="0" insertRows="0" insertColumns="0" insertHyperlinks="0" deleteColumns="0" deleteRows="0" sort="0" autoFilter="0" pivotTables="0"/>
  <mergeCells count="28">
    <mergeCell ref="G1:J1"/>
    <mergeCell ref="L1:M1"/>
    <mergeCell ref="O1:AA1"/>
    <mergeCell ref="AE1:AJ1"/>
    <mergeCell ref="AK1:AP1"/>
    <mergeCell ref="BC1:BH1"/>
    <mergeCell ref="G2:J2"/>
    <mergeCell ref="L2:M2"/>
    <mergeCell ref="O2:AA2"/>
    <mergeCell ref="AE2:AJ2"/>
    <mergeCell ref="AK2:AP2"/>
    <mergeCell ref="BC2:BH2"/>
    <mergeCell ref="O3:T3"/>
    <mergeCell ref="Y3:AA3"/>
    <mergeCell ref="AE3:AJ3"/>
    <mergeCell ref="AK3:AP3"/>
    <mergeCell ref="BC3:BH3"/>
    <mergeCell ref="Y4:AA4"/>
    <mergeCell ref="AH4:AJ4"/>
    <mergeCell ref="AN4:AP4"/>
    <mergeCell ref="Y5:AA5"/>
    <mergeCell ref="AH5:AJ5"/>
    <mergeCell ref="AN5:AP5"/>
    <mergeCell ref="AT5:AV5"/>
    <mergeCell ref="AZ5:BB5"/>
    <mergeCell ref="E1:E5"/>
    <mergeCell ref="AQ1:BB4"/>
    <mergeCell ref="AB1:AD5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opLeftCell="O6" workbookViewId="0">
      <selection activeCell="N6" sqref="N6:R11"/>
    </sheetView>
  </sheetViews>
  <sheetFormatPr defaultColWidth="9" defaultRowHeight="14.25" outlineLevelRow="6"/>
  <cols>
    <col min="4" max="4" width="6.16666666666667" customWidth="1"/>
    <col min="8" max="13" width="5.125" style="15" customWidth="1"/>
    <col min="14" max="18" width="9" style="15"/>
  </cols>
  <sheetData>
    <row r="1" spans="1:21">
      <c r="A1" s="28" t="s">
        <v>0</v>
      </c>
      <c r="B1" s="28" t="s">
        <v>172</v>
      </c>
      <c r="C1" s="28" t="s">
        <v>72</v>
      </c>
      <c r="D1" s="37" t="s">
        <v>495</v>
      </c>
      <c r="E1" s="37" t="s">
        <v>496</v>
      </c>
      <c r="F1" s="37" t="s">
        <v>497</v>
      </c>
      <c r="G1" s="38" t="s">
        <v>498</v>
      </c>
      <c r="H1" s="37" t="s">
        <v>499</v>
      </c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 t="s">
        <v>500</v>
      </c>
      <c r="U1" s="37"/>
    </row>
    <row r="2" spans="1:21">
      <c r="A2" s="28" t="s">
        <v>392</v>
      </c>
      <c r="B2" s="38" t="s">
        <v>85</v>
      </c>
      <c r="C2" s="28" t="s">
        <v>393</v>
      </c>
      <c r="D2" s="37" t="s">
        <v>367</v>
      </c>
      <c r="E2" s="37" t="s">
        <v>337</v>
      </c>
      <c r="F2" s="37" t="s">
        <v>327</v>
      </c>
      <c r="G2" s="38" t="s">
        <v>151</v>
      </c>
      <c r="H2" s="37" t="s">
        <v>95</v>
      </c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</row>
    <row r="3" spans="1:21">
      <c r="A3" s="28" t="s">
        <v>392</v>
      </c>
      <c r="B3" s="28"/>
      <c r="C3" s="28"/>
      <c r="D3" s="86"/>
      <c r="E3" s="86"/>
      <c r="F3" s="86"/>
      <c r="G3" s="28"/>
      <c r="H3" s="37" t="s">
        <v>97</v>
      </c>
      <c r="I3" s="37"/>
      <c r="J3" s="37"/>
      <c r="K3" s="37"/>
      <c r="L3" s="37"/>
      <c r="M3" s="37"/>
      <c r="N3" s="38" t="s">
        <v>100</v>
      </c>
      <c r="O3" s="38" t="s">
        <v>103</v>
      </c>
      <c r="P3" s="38" t="s">
        <v>105</v>
      </c>
      <c r="Q3" s="38" t="s">
        <v>107</v>
      </c>
      <c r="R3" s="37" t="s">
        <v>109</v>
      </c>
      <c r="S3" s="37"/>
      <c r="T3" s="37"/>
      <c r="U3" s="37"/>
    </row>
    <row r="4" spans="1:21">
      <c r="A4" s="28" t="s">
        <v>392</v>
      </c>
      <c r="B4" s="28"/>
      <c r="C4" s="28"/>
      <c r="D4" s="86"/>
      <c r="E4" s="86"/>
      <c r="F4" s="86"/>
      <c r="G4" s="38"/>
      <c r="H4" s="38" t="s">
        <v>190</v>
      </c>
      <c r="I4" s="38" t="s">
        <v>191</v>
      </c>
      <c r="J4" s="38" t="s">
        <v>192</v>
      </c>
      <c r="K4" s="38" t="s">
        <v>193</v>
      </c>
      <c r="L4" s="38" t="s">
        <v>194</v>
      </c>
      <c r="M4" s="38" t="s">
        <v>195</v>
      </c>
      <c r="N4" s="38"/>
      <c r="O4" s="38"/>
      <c r="P4" s="38"/>
      <c r="Q4" s="38"/>
      <c r="R4" s="37"/>
      <c r="S4" s="37"/>
      <c r="T4" s="37"/>
      <c r="U4" s="37"/>
    </row>
    <row r="5" spans="1:21">
      <c r="A5" s="28" t="s">
        <v>12</v>
      </c>
      <c r="B5" s="28" t="s">
        <v>493</v>
      </c>
      <c r="C5" s="28" t="s">
        <v>501</v>
      </c>
      <c r="D5" s="86" t="s">
        <v>368</v>
      </c>
      <c r="E5" s="86" t="s">
        <v>502</v>
      </c>
      <c r="F5" s="86" t="s">
        <v>503</v>
      </c>
      <c r="G5" s="38" t="s">
        <v>504</v>
      </c>
      <c r="H5" s="38" t="s">
        <v>113</v>
      </c>
      <c r="I5" s="38" t="s">
        <v>115</v>
      </c>
      <c r="J5" s="38" t="s">
        <v>117</v>
      </c>
      <c r="K5" s="38" t="s">
        <v>119</v>
      </c>
      <c r="L5" s="38" t="s">
        <v>121</v>
      </c>
      <c r="M5" s="38" t="s">
        <v>123</v>
      </c>
      <c r="N5" s="38" t="s">
        <v>102</v>
      </c>
      <c r="O5" s="38" t="s">
        <v>104</v>
      </c>
      <c r="P5" s="38" t="s">
        <v>106</v>
      </c>
      <c r="Q5" s="38" t="s">
        <v>108</v>
      </c>
      <c r="R5" s="37" t="s">
        <v>505</v>
      </c>
      <c r="S5" s="37"/>
      <c r="T5" s="37"/>
      <c r="U5" s="37"/>
    </row>
    <row r="6" spans="2:21">
      <c r="B6">
        <v>31001</v>
      </c>
      <c r="C6" s="10" t="s">
        <v>388</v>
      </c>
      <c r="D6" s="10" t="s">
        <v>388</v>
      </c>
      <c r="E6" s="10" t="s">
        <v>358</v>
      </c>
      <c r="F6" s="10" t="s">
        <v>330</v>
      </c>
      <c r="G6" s="10"/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 t="s">
        <v>507</v>
      </c>
      <c r="O6" s="15">
        <v>0</v>
      </c>
      <c r="P6" s="15">
        <v>0</v>
      </c>
      <c r="Q6" s="15">
        <v>0</v>
      </c>
      <c r="T6" t="str">
        <f>IF(R6="","",IFERROR(VLOOKUP(R6,角色_能力!B:C,2,FALSE),"ERROR"))</f>
        <v/>
      </c>
      <c r="U6" t="str">
        <f>IF(S6="","",IFERROR(VLOOKUP(S6,角色_能力!B:C,2,FALSE),"ERROR"))</f>
        <v/>
      </c>
    </row>
    <row r="7" spans="2:17">
      <c r="B7">
        <v>31002</v>
      </c>
      <c r="C7" s="10" t="s">
        <v>558</v>
      </c>
      <c r="D7" s="10" t="s">
        <v>388</v>
      </c>
      <c r="E7" s="10" t="s">
        <v>358</v>
      </c>
      <c r="F7" s="10" t="s">
        <v>332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 t="s">
        <v>507</v>
      </c>
      <c r="O7" s="15">
        <v>0</v>
      </c>
      <c r="P7" s="15">
        <v>0</v>
      </c>
      <c r="Q7" s="15">
        <v>0</v>
      </c>
    </row>
  </sheetData>
  <sheetProtection formatCells="0" formatColumns="0" formatRows="0" insertRows="0" insertColumns="0" insertHyperlinks="0" deleteColumns="0" deleteRows="0" sort="0" autoFilter="0" pivotTables="0"/>
  <mergeCells count="7">
    <mergeCell ref="H1:S1"/>
    <mergeCell ref="H2:S2"/>
    <mergeCell ref="H3:M3"/>
    <mergeCell ref="R3:S3"/>
    <mergeCell ref="R4:S4"/>
    <mergeCell ref="R5:S5"/>
    <mergeCell ref="T1:U5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68"/>
  <sheetViews>
    <sheetView topLeftCell="N2" workbookViewId="0">
      <selection activeCell="N6" sqref="N6:S11"/>
    </sheetView>
  </sheetViews>
  <sheetFormatPr defaultColWidth="9" defaultRowHeight="14.25"/>
  <cols>
    <col min="3" max="3" width="17.625" customWidth="1"/>
    <col min="4" max="5" width="9" outlineLevel="1"/>
    <col min="6" max="9" width="6.625" customWidth="1" outlineLevel="1"/>
    <col min="10" max="10" width="8.875" customWidth="1" outlineLevel="1"/>
    <col min="11" max="11" width="10.7916666666667" customWidth="1" outlineLevel="1"/>
    <col min="12" max="12" width="10.875" style="36" customWidth="1" outlineLevel="1"/>
    <col min="13" max="13" width="9" style="36" outlineLevel="1"/>
    <col min="14" max="14" width="9" style="62" outlineLevel="1"/>
    <col min="15" max="28" width="9" outlineLevel="1"/>
    <col min="30" max="52" width="9" outlineLevel="1"/>
  </cols>
  <sheetData>
    <row r="1" spans="1:60">
      <c r="A1" s="63" t="s">
        <v>0</v>
      </c>
      <c r="B1" s="64" t="s">
        <v>172</v>
      </c>
      <c r="C1" s="64" t="s">
        <v>72</v>
      </c>
      <c r="D1" s="64" t="s">
        <v>517</v>
      </c>
      <c r="E1" s="64" t="s">
        <v>518</v>
      </c>
      <c r="F1" s="63" t="s">
        <v>519</v>
      </c>
      <c r="G1" s="63" t="s">
        <v>520</v>
      </c>
      <c r="H1" s="63"/>
      <c r="I1" s="63"/>
      <c r="J1" s="63"/>
      <c r="K1" s="71" t="s">
        <v>521</v>
      </c>
      <c r="L1" s="63" t="s">
        <v>522</v>
      </c>
      <c r="M1" s="63"/>
      <c r="N1" s="63"/>
      <c r="O1" s="76" t="s">
        <v>499</v>
      </c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 t="s">
        <v>500</v>
      </c>
      <c r="AC1" s="63"/>
      <c r="AD1" s="63"/>
      <c r="AE1" s="63" t="s">
        <v>523</v>
      </c>
      <c r="AF1" s="63"/>
      <c r="AG1" s="63"/>
      <c r="AH1" s="63"/>
      <c r="AI1" s="63"/>
      <c r="AJ1" s="63"/>
      <c r="AK1" s="63" t="s">
        <v>524</v>
      </c>
      <c r="AL1" s="63"/>
      <c r="AM1" s="63"/>
      <c r="AN1" s="63"/>
      <c r="AO1" s="63"/>
      <c r="AP1" s="63"/>
      <c r="AQ1" s="85" t="s">
        <v>525</v>
      </c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63" t="s">
        <v>526</v>
      </c>
      <c r="BD1" s="63"/>
      <c r="BE1" s="63"/>
      <c r="BF1" s="63"/>
      <c r="BG1" s="63"/>
      <c r="BH1" s="63"/>
    </row>
    <row r="2" spans="1:60">
      <c r="A2" s="63" t="s">
        <v>392</v>
      </c>
      <c r="B2" s="64" t="s">
        <v>85</v>
      </c>
      <c r="C2" s="64" t="s">
        <v>393</v>
      </c>
      <c r="D2" s="64" t="s">
        <v>527</v>
      </c>
      <c r="E2" s="64"/>
      <c r="F2" s="63" t="s">
        <v>85</v>
      </c>
      <c r="G2" s="63" t="s">
        <v>528</v>
      </c>
      <c r="H2" s="63"/>
      <c r="I2" s="63"/>
      <c r="J2" s="63"/>
      <c r="K2" s="71" t="s">
        <v>85</v>
      </c>
      <c r="L2" s="63" t="s">
        <v>136</v>
      </c>
      <c r="M2" s="63"/>
      <c r="N2" s="63"/>
      <c r="O2" s="76" t="s">
        <v>95</v>
      </c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 t="s">
        <v>124</v>
      </c>
      <c r="AF2" s="63"/>
      <c r="AG2" s="63"/>
      <c r="AH2" s="63"/>
      <c r="AI2" s="63"/>
      <c r="AJ2" s="63"/>
      <c r="AK2" s="63" t="s">
        <v>124</v>
      </c>
      <c r="AL2" s="63"/>
      <c r="AM2" s="63"/>
      <c r="AN2" s="63"/>
      <c r="AO2" s="63"/>
      <c r="AP2" s="63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63" t="s">
        <v>529</v>
      </c>
      <c r="BD2" s="63"/>
      <c r="BE2" s="63"/>
      <c r="BF2" s="63"/>
      <c r="BG2" s="63"/>
      <c r="BH2" s="63"/>
    </row>
    <row r="3" spans="1:60">
      <c r="A3" s="63" t="s">
        <v>392</v>
      </c>
      <c r="B3" s="64"/>
      <c r="C3" s="64"/>
      <c r="D3" s="64"/>
      <c r="E3" s="64"/>
      <c r="F3" s="63"/>
      <c r="G3" s="63"/>
      <c r="H3" s="63"/>
      <c r="I3" s="63"/>
      <c r="J3" s="63"/>
      <c r="K3" s="71"/>
      <c r="L3" s="63" t="s">
        <v>530</v>
      </c>
      <c r="M3" s="63"/>
      <c r="N3" s="63"/>
      <c r="O3" s="76" t="s">
        <v>97</v>
      </c>
      <c r="P3" s="63"/>
      <c r="Q3" s="63"/>
      <c r="R3" s="63"/>
      <c r="S3" s="63"/>
      <c r="T3" s="63"/>
      <c r="U3" s="63" t="s">
        <v>100</v>
      </c>
      <c r="V3" s="63" t="s">
        <v>103</v>
      </c>
      <c r="W3" s="63" t="s">
        <v>105</v>
      </c>
      <c r="X3" s="63" t="s">
        <v>107</v>
      </c>
      <c r="Y3" s="63" t="s">
        <v>109</v>
      </c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63"/>
      <c r="BD3" s="63"/>
      <c r="BE3" s="63"/>
      <c r="BF3" s="63"/>
      <c r="BG3" s="63"/>
      <c r="BH3" s="63"/>
    </row>
    <row r="4" spans="1:60">
      <c r="A4" s="63" t="s">
        <v>392</v>
      </c>
      <c r="B4" s="64"/>
      <c r="C4" s="64"/>
      <c r="D4" s="64"/>
      <c r="E4" s="64"/>
      <c r="F4" s="63"/>
      <c r="G4" s="63"/>
      <c r="H4" s="63"/>
      <c r="I4" s="63"/>
      <c r="J4" s="63"/>
      <c r="K4" s="71"/>
      <c r="L4" s="63"/>
      <c r="M4" s="63"/>
      <c r="N4" s="63"/>
      <c r="O4" s="76" t="s">
        <v>190</v>
      </c>
      <c r="P4" s="63" t="s">
        <v>191</v>
      </c>
      <c r="Q4" s="63" t="s">
        <v>192</v>
      </c>
      <c r="R4" s="63" t="s">
        <v>193</v>
      </c>
      <c r="S4" s="63" t="s">
        <v>194</v>
      </c>
      <c r="T4" s="63" t="s">
        <v>195</v>
      </c>
      <c r="U4" s="63"/>
      <c r="V4" s="63"/>
      <c r="W4" s="63"/>
      <c r="X4" s="63"/>
      <c r="Y4" s="63"/>
      <c r="Z4" s="63"/>
      <c r="AA4" s="63"/>
      <c r="AB4" s="63"/>
      <c r="AC4" s="63"/>
      <c r="AD4" s="63"/>
      <c r="AE4" s="63" t="s">
        <v>531</v>
      </c>
      <c r="AF4" s="63" t="s">
        <v>532</v>
      </c>
      <c r="AG4" s="63" t="s">
        <v>533</v>
      </c>
      <c r="AH4" s="63" t="s">
        <v>534</v>
      </c>
      <c r="AI4" s="63"/>
      <c r="AJ4" s="63"/>
      <c r="AK4" s="63" t="s">
        <v>531</v>
      </c>
      <c r="AL4" s="63" t="s">
        <v>532</v>
      </c>
      <c r="AM4" s="63" t="s">
        <v>533</v>
      </c>
      <c r="AN4" s="63" t="s">
        <v>534</v>
      </c>
      <c r="AO4" s="63"/>
      <c r="AP4" s="63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63"/>
      <c r="BD4" s="63"/>
      <c r="BE4" s="63"/>
      <c r="BF4" s="63"/>
      <c r="BG4" s="63"/>
      <c r="BH4" s="63"/>
    </row>
    <row r="5" spans="1:60">
      <c r="A5" s="63" t="s">
        <v>12</v>
      </c>
      <c r="B5" s="64" t="s">
        <v>493</v>
      </c>
      <c r="C5" s="64" t="s">
        <v>501</v>
      </c>
      <c r="D5" s="64" t="s">
        <v>535</v>
      </c>
      <c r="E5" s="64"/>
      <c r="F5" s="63" t="s">
        <v>536</v>
      </c>
      <c r="G5" s="63" t="s">
        <v>197</v>
      </c>
      <c r="H5" s="63" t="s">
        <v>537</v>
      </c>
      <c r="I5" s="63" t="s">
        <v>197</v>
      </c>
      <c r="J5" s="63" t="s">
        <v>537</v>
      </c>
      <c r="K5" s="71" t="s">
        <v>538</v>
      </c>
      <c r="L5" s="63" t="s">
        <v>539</v>
      </c>
      <c r="M5" s="63" t="s">
        <v>540</v>
      </c>
      <c r="N5" s="63"/>
      <c r="O5" s="76" t="s">
        <v>113</v>
      </c>
      <c r="P5" s="63" t="s">
        <v>115</v>
      </c>
      <c r="Q5" s="63" t="s">
        <v>117</v>
      </c>
      <c r="R5" s="63" t="s">
        <v>119</v>
      </c>
      <c r="S5" s="63" t="s">
        <v>121</v>
      </c>
      <c r="T5" s="63" t="s">
        <v>123</v>
      </c>
      <c r="U5" s="63" t="s">
        <v>102</v>
      </c>
      <c r="V5" s="63" t="s">
        <v>104</v>
      </c>
      <c r="W5" s="63" t="s">
        <v>106</v>
      </c>
      <c r="X5" s="63" t="s">
        <v>108</v>
      </c>
      <c r="Y5" s="63" t="s">
        <v>505</v>
      </c>
      <c r="Z5" s="63"/>
      <c r="AA5" s="63"/>
      <c r="AB5" s="63"/>
      <c r="AC5" s="63"/>
      <c r="AD5" s="63"/>
      <c r="AE5" s="63" t="s">
        <v>541</v>
      </c>
      <c r="AF5" s="63" t="s">
        <v>542</v>
      </c>
      <c r="AG5" s="63" t="s">
        <v>543</v>
      </c>
      <c r="AH5" s="63" t="s">
        <v>135</v>
      </c>
      <c r="AI5" s="63"/>
      <c r="AJ5" s="63"/>
      <c r="AK5" s="63" t="s">
        <v>541</v>
      </c>
      <c r="AL5" s="63" t="s">
        <v>542</v>
      </c>
      <c r="AM5" s="63" t="s">
        <v>543</v>
      </c>
      <c r="AN5" s="63" t="s">
        <v>135</v>
      </c>
      <c r="AO5" s="63"/>
      <c r="AP5" s="63"/>
      <c r="AQ5" s="85" t="s">
        <v>541</v>
      </c>
      <c r="AR5" s="85" t="s">
        <v>542</v>
      </c>
      <c r="AS5" s="85" t="s">
        <v>543</v>
      </c>
      <c r="AT5" s="85" t="s">
        <v>135</v>
      </c>
      <c r="AU5" s="85"/>
      <c r="AV5" s="85"/>
      <c r="AW5" s="85" t="s">
        <v>541</v>
      </c>
      <c r="AX5" s="85" t="s">
        <v>542</v>
      </c>
      <c r="AY5" s="85" t="s">
        <v>543</v>
      </c>
      <c r="AZ5" s="85" t="s">
        <v>135</v>
      </c>
      <c r="BA5" s="85"/>
      <c r="BB5" s="85"/>
      <c r="BC5" s="63" t="s">
        <v>544</v>
      </c>
      <c r="BD5" s="63" t="s">
        <v>545</v>
      </c>
      <c r="BE5" s="63" t="s">
        <v>544</v>
      </c>
      <c r="BF5" s="63" t="s">
        <v>545</v>
      </c>
      <c r="BG5" s="63" t="s">
        <v>544</v>
      </c>
      <c r="BH5" s="63" t="s">
        <v>545</v>
      </c>
    </row>
    <row r="6" spans="1:54">
      <c r="A6" s="5"/>
      <c r="B6" s="65">
        <v>65001</v>
      </c>
      <c r="C6" s="65" t="s">
        <v>559</v>
      </c>
      <c r="D6" s="65">
        <v>31001</v>
      </c>
      <c r="E6" s="65" t="str">
        <f>IF(D6="","",IFERROR(VLOOKUP(D6,角色_种族_敌方!B:C,2,FALSE),"ERROR"))</f>
        <v>地精</v>
      </c>
      <c r="F6" s="66">
        <f t="shared" ref="F6:F11" si="0">H6+J6</f>
        <v>1</v>
      </c>
      <c r="G6" s="66" t="s">
        <v>207</v>
      </c>
      <c r="H6" s="67">
        <v>1</v>
      </c>
      <c r="I6" s="67"/>
      <c r="J6" s="72"/>
      <c r="K6" s="72">
        <v>50</v>
      </c>
      <c r="L6" s="73" t="s">
        <v>140</v>
      </c>
      <c r="M6" s="77" t="s">
        <v>560</v>
      </c>
      <c r="N6" s="78">
        <v>0</v>
      </c>
      <c r="O6" s="79">
        <v>8</v>
      </c>
      <c r="P6" s="80">
        <v>14</v>
      </c>
      <c r="Q6" s="80">
        <v>10</v>
      </c>
      <c r="R6" s="80">
        <v>10</v>
      </c>
      <c r="S6" s="80">
        <v>8</v>
      </c>
      <c r="T6" s="80">
        <v>8</v>
      </c>
      <c r="U6" s="22" t="s">
        <v>507</v>
      </c>
      <c r="V6" s="22">
        <v>15</v>
      </c>
      <c r="W6" s="22">
        <v>5</v>
      </c>
      <c r="X6" s="22">
        <v>2</v>
      </c>
      <c r="Y6" s="22"/>
      <c r="Z6" s="22"/>
      <c r="AA6" s="22" t="s">
        <v>561</v>
      </c>
      <c r="AB6" s="22" t="s">
        <v>561</v>
      </c>
      <c r="AC6" s="22"/>
      <c r="AD6" s="22"/>
      <c r="AE6" s="21">
        <v>41201</v>
      </c>
      <c r="AF6" s="21">
        <v>40501</v>
      </c>
      <c r="AG6" s="21">
        <v>40201</v>
      </c>
      <c r="AH6" s="21"/>
      <c r="AI6" s="21"/>
      <c r="AJ6" s="21"/>
      <c r="AK6" s="21">
        <v>40701</v>
      </c>
      <c r="AL6" s="21">
        <v>40501</v>
      </c>
      <c r="AM6" s="21">
        <v>40201</v>
      </c>
      <c r="AN6" s="21"/>
      <c r="AO6" s="21"/>
      <c r="AP6" s="21"/>
      <c r="AQ6" s="22" t="str">
        <f>IF(AE6=0,"无",IFERROR(VLOOKUP(AE6,角色_装备!B:C,2,FALSE),"ERROR"))</f>
        <v>镰刀</v>
      </c>
      <c r="AR6" s="22" t="str">
        <f>IF(AF6=0,"无",IFERROR(VLOOKUP(AF6,角色_装备!B:C,2,FALSE),"ERROR"))</f>
        <v>盾牌</v>
      </c>
      <c r="AS6" s="22" t="str">
        <f>IF(AG6=0,"无",IFERROR(VLOOKUP(AG6,角色_装备!B:C,2,FALSE),"ERROR"))</f>
        <v>布甲</v>
      </c>
      <c r="AT6" s="22"/>
      <c r="AU6" s="22"/>
      <c r="AV6" s="22"/>
      <c r="AW6" s="22" t="str">
        <f>IF(AK6=0,"无",IFERROR(VLOOKUP(AK6,角色_装备!B:C,2,FALSE),"ERROR"))</f>
        <v>匕首</v>
      </c>
      <c r="AX6" s="22" t="str">
        <f>IF(AL6=0,"无",IFERROR(VLOOKUP(AL6,角色_装备!B:C,2,FALSE),"ERROR"))</f>
        <v>盾牌</v>
      </c>
      <c r="AY6" s="22" t="str">
        <f>IF(AM6=0,"无",IFERROR(VLOOKUP(AM6,角色_装备!B:C,2,FALSE),"ERROR"))</f>
        <v>布甲</v>
      </c>
      <c r="AZ6" s="22"/>
      <c r="BA6" s="22"/>
      <c r="BB6" s="22"/>
    </row>
    <row r="7" spans="1:54">
      <c r="A7" s="5"/>
      <c r="B7" s="31">
        <v>65002</v>
      </c>
      <c r="C7" s="31" t="s">
        <v>562</v>
      </c>
      <c r="D7" s="31">
        <v>31001</v>
      </c>
      <c r="E7" s="65" t="str">
        <f>IF(D7="","",IFERROR(VLOOKUP(D7,角色_种族_敌方!B:C,2,FALSE),"ERROR"))</f>
        <v>地精</v>
      </c>
      <c r="F7" s="66">
        <f t="shared" si="0"/>
        <v>1</v>
      </c>
      <c r="G7" s="68" t="s">
        <v>207</v>
      </c>
      <c r="H7" s="69">
        <v>1</v>
      </c>
      <c r="I7" s="70"/>
      <c r="J7" s="74"/>
      <c r="K7" s="74">
        <v>50</v>
      </c>
      <c r="L7" s="75" t="s">
        <v>140</v>
      </c>
      <c r="M7" s="81" t="s">
        <v>560</v>
      </c>
      <c r="N7" s="82">
        <v>0</v>
      </c>
      <c r="O7" s="79">
        <v>8</v>
      </c>
      <c r="P7" s="80">
        <v>14</v>
      </c>
      <c r="Q7" s="80">
        <v>10</v>
      </c>
      <c r="R7" s="80">
        <v>10</v>
      </c>
      <c r="S7" s="80">
        <v>8</v>
      </c>
      <c r="T7" s="80">
        <v>8</v>
      </c>
      <c r="U7" s="17" t="s">
        <v>507</v>
      </c>
      <c r="V7" s="17">
        <v>13</v>
      </c>
      <c r="W7" s="17">
        <v>5</v>
      </c>
      <c r="X7" s="17">
        <v>2</v>
      </c>
      <c r="Y7" s="17"/>
      <c r="Z7" s="17"/>
      <c r="AA7" s="17"/>
      <c r="AB7" s="22"/>
      <c r="AC7" s="22"/>
      <c r="AD7" s="17"/>
      <c r="AE7" s="16">
        <v>41301</v>
      </c>
      <c r="AF7" s="16">
        <v>0</v>
      </c>
      <c r="AG7" s="16">
        <v>40201</v>
      </c>
      <c r="AH7" s="16"/>
      <c r="AI7" s="16"/>
      <c r="AJ7" s="16"/>
      <c r="AK7" s="16">
        <v>41101</v>
      </c>
      <c r="AL7" s="16">
        <v>0</v>
      </c>
      <c r="AM7" s="16">
        <v>40201</v>
      </c>
      <c r="AN7" s="16"/>
      <c r="AO7" s="16"/>
      <c r="AP7" s="16"/>
      <c r="AQ7" s="22" t="str">
        <f>IF(AE7=0,"无",IFERROR(VLOOKUP(AE7,角色_装备!B:C,2,FALSE),"ERROR"))</f>
        <v>矛</v>
      </c>
      <c r="AR7" s="22" t="str">
        <f>IF(AF7=0,"无",IFERROR(VLOOKUP(AF7,角色_装备!B:C,2,FALSE),"ERROR"))</f>
        <v>无</v>
      </c>
      <c r="AS7" s="22" t="str">
        <f>IF(AG7=0,"无",IFERROR(VLOOKUP(AG7,角色_装备!B:C,2,FALSE),"ERROR"))</f>
        <v>布甲</v>
      </c>
      <c r="AT7" s="17"/>
      <c r="AU7" s="17"/>
      <c r="AV7" s="17"/>
      <c r="AW7" s="22" t="str">
        <f>IF(AK7=0,"无",IFERROR(VLOOKUP(AK7,角色_装备!B:C,2,FALSE),"ERROR"))</f>
        <v>长棍</v>
      </c>
      <c r="AX7" s="22" t="str">
        <f>IF(AL7=0,"无",IFERROR(VLOOKUP(AL7,角色_装备!B:C,2,FALSE),"ERROR"))</f>
        <v>无</v>
      </c>
      <c r="AY7" s="22" t="str">
        <f>IF(AM7=0,"无",IFERROR(VLOOKUP(AM7,角色_装备!B:C,2,FALSE),"ERROR"))</f>
        <v>布甲</v>
      </c>
      <c r="AZ7" s="17"/>
      <c r="BA7" s="17"/>
      <c r="BB7" s="17"/>
    </row>
    <row r="8" spans="1:54">
      <c r="A8" s="5"/>
      <c r="B8" s="31">
        <v>65003</v>
      </c>
      <c r="C8" s="31" t="s">
        <v>563</v>
      </c>
      <c r="D8" s="31">
        <v>31001</v>
      </c>
      <c r="E8" s="65" t="str">
        <f>IF(D8="","",IFERROR(VLOOKUP(D8,角色_种族_敌方!B:C,2,FALSE),"ERROR"))</f>
        <v>地精</v>
      </c>
      <c r="F8" s="66">
        <f t="shared" si="0"/>
        <v>1</v>
      </c>
      <c r="G8" s="68" t="s">
        <v>213</v>
      </c>
      <c r="H8" s="69">
        <v>1</v>
      </c>
      <c r="I8" s="70"/>
      <c r="J8" s="74"/>
      <c r="K8" s="74">
        <v>50</v>
      </c>
      <c r="L8" s="75" t="s">
        <v>140</v>
      </c>
      <c r="M8" s="81" t="s">
        <v>560</v>
      </c>
      <c r="N8" s="78">
        <v>0</v>
      </c>
      <c r="O8" s="79">
        <v>8</v>
      </c>
      <c r="P8" s="80">
        <v>14</v>
      </c>
      <c r="Q8" s="84">
        <v>10</v>
      </c>
      <c r="R8" s="80">
        <v>10</v>
      </c>
      <c r="S8" s="80">
        <v>8</v>
      </c>
      <c r="T8" s="80">
        <v>8</v>
      </c>
      <c r="U8" s="17" t="s">
        <v>507</v>
      </c>
      <c r="V8" s="17">
        <v>12</v>
      </c>
      <c r="W8" s="17">
        <v>5</v>
      </c>
      <c r="X8" s="17">
        <v>2</v>
      </c>
      <c r="Y8" s="17"/>
      <c r="Z8" s="17"/>
      <c r="AA8" s="17"/>
      <c r="AB8" s="22"/>
      <c r="AC8" s="22"/>
      <c r="AD8" s="17"/>
      <c r="AE8" s="16">
        <v>41601</v>
      </c>
      <c r="AF8" s="16">
        <v>0</v>
      </c>
      <c r="AG8" s="16">
        <v>0</v>
      </c>
      <c r="AH8" s="16"/>
      <c r="AI8" s="16"/>
      <c r="AJ8" s="16"/>
      <c r="AK8" s="16">
        <v>41501</v>
      </c>
      <c r="AL8" s="16">
        <v>0</v>
      </c>
      <c r="AM8" s="16">
        <v>0</v>
      </c>
      <c r="AN8" s="16"/>
      <c r="AO8" s="16"/>
      <c r="AP8" s="16"/>
      <c r="AQ8" s="22" t="str">
        <f>IF(AE8=0,"无",IFERROR(VLOOKUP(AE8,角色_装备!B:C,2,FALSE),"ERROR"))</f>
        <v>短弓</v>
      </c>
      <c r="AR8" s="22" t="str">
        <f>IF(AF8=0,"无",IFERROR(VLOOKUP(AF8,角色_装备!B:C,2,FALSE),"ERROR"))</f>
        <v>无</v>
      </c>
      <c r="AS8" s="22" t="str">
        <f>IF(AG8=0,"无",IFERROR(VLOOKUP(AG8,角色_装备!B:C,2,FALSE),"ERROR"))</f>
        <v>无</v>
      </c>
      <c r="AT8" s="17"/>
      <c r="AU8" s="17"/>
      <c r="AV8" s="17"/>
      <c r="AW8" s="22" t="str">
        <f>IF(AK8=0,"无",IFERROR(VLOOKUP(AK8,角色_装备!B:C,2,FALSE),"ERROR"))</f>
        <v>飞镖</v>
      </c>
      <c r="AX8" s="22" t="str">
        <f>IF(AL8=0,"无",IFERROR(VLOOKUP(AL8,角色_装备!B:C,2,FALSE),"ERROR"))</f>
        <v>无</v>
      </c>
      <c r="AY8" s="22" t="str">
        <f>IF(AM8=0,"无",IFERROR(VLOOKUP(AM8,角色_装备!B:C,2,FALSE),"ERROR"))</f>
        <v>无</v>
      </c>
      <c r="AZ8" s="17"/>
      <c r="BA8" s="17"/>
      <c r="BB8" s="17"/>
    </row>
    <row r="9" spans="1:54">
      <c r="A9" s="5"/>
      <c r="B9" s="31">
        <v>65004</v>
      </c>
      <c r="C9" s="31" t="s">
        <v>564</v>
      </c>
      <c r="D9" s="31">
        <v>31001</v>
      </c>
      <c r="E9" s="65" t="str">
        <f>IF(D9="","",IFERROR(VLOOKUP(D9,角色_种族_敌方!B:C,2,FALSE),"ERROR"))</f>
        <v>地精</v>
      </c>
      <c r="F9" s="66">
        <f t="shared" si="0"/>
        <v>1</v>
      </c>
      <c r="G9" s="68" t="s">
        <v>215</v>
      </c>
      <c r="H9" s="69">
        <v>1</v>
      </c>
      <c r="I9" s="70"/>
      <c r="J9" s="74"/>
      <c r="K9" s="74">
        <v>50</v>
      </c>
      <c r="L9" s="75" t="s">
        <v>140</v>
      </c>
      <c r="M9" s="81" t="s">
        <v>560</v>
      </c>
      <c r="N9" s="82">
        <v>0</v>
      </c>
      <c r="O9" s="79">
        <v>8</v>
      </c>
      <c r="P9" s="80">
        <v>14</v>
      </c>
      <c r="Q9" s="80">
        <v>10</v>
      </c>
      <c r="R9" s="80">
        <v>10</v>
      </c>
      <c r="S9" s="80">
        <v>8</v>
      </c>
      <c r="T9" s="80">
        <v>8</v>
      </c>
      <c r="U9" s="17" t="s">
        <v>507</v>
      </c>
      <c r="V9" s="17">
        <v>13</v>
      </c>
      <c r="W9" s="17">
        <v>5</v>
      </c>
      <c r="X9" s="17">
        <v>2</v>
      </c>
      <c r="Y9" s="17"/>
      <c r="Z9" s="17"/>
      <c r="AA9" s="17"/>
      <c r="AB9" s="22"/>
      <c r="AC9" s="22"/>
      <c r="AD9" s="17"/>
      <c r="AE9" s="16">
        <v>42501</v>
      </c>
      <c r="AF9" s="16">
        <v>40701</v>
      </c>
      <c r="AG9" s="16">
        <v>40201</v>
      </c>
      <c r="AH9" s="16"/>
      <c r="AI9" s="16"/>
      <c r="AJ9" s="16"/>
      <c r="AK9" s="16">
        <v>42501</v>
      </c>
      <c r="AL9" s="16">
        <v>41201</v>
      </c>
      <c r="AM9" s="16">
        <v>40201</v>
      </c>
      <c r="AN9" s="16"/>
      <c r="AO9" s="16"/>
      <c r="AP9" s="16"/>
      <c r="AQ9" s="22" t="str">
        <f>IF(AE9=0,"无",IFERROR(VLOOKUP(AE9,角色_装备!B:C,2,FALSE),"ERROR"))</f>
        <v>弯刀</v>
      </c>
      <c r="AR9" s="22" t="str">
        <f>IF(AF9=0,"无",IFERROR(VLOOKUP(AF9,角色_装备!B:C,2,FALSE),"ERROR"))</f>
        <v>匕首</v>
      </c>
      <c r="AS9" s="22" t="str">
        <f>IF(AG9=0,"无",IFERROR(VLOOKUP(AG9,角色_装备!B:C,2,FALSE),"ERROR"))</f>
        <v>布甲</v>
      </c>
      <c r="AT9" s="17"/>
      <c r="AU9" s="17"/>
      <c r="AV9" s="17"/>
      <c r="AW9" s="22" t="str">
        <f>IF(AK9=0,"无",IFERROR(VLOOKUP(AK9,角色_装备!B:C,2,FALSE),"ERROR"))</f>
        <v>弯刀</v>
      </c>
      <c r="AX9" s="22" t="str">
        <f>IF(AL9=0,"无",IFERROR(VLOOKUP(AL9,角色_装备!B:C,2,FALSE),"ERROR"))</f>
        <v>镰刀</v>
      </c>
      <c r="AY9" s="22" t="str">
        <f>IF(AM9=0,"无",IFERROR(VLOOKUP(AM9,角色_装备!B:C,2,FALSE),"ERROR"))</f>
        <v>布甲</v>
      </c>
      <c r="AZ9" s="17"/>
      <c r="BA9" s="17"/>
      <c r="BB9" s="17"/>
    </row>
    <row r="10" spans="1:54">
      <c r="A10" s="5"/>
      <c r="B10" s="31">
        <v>65005</v>
      </c>
      <c r="C10" s="31" t="s">
        <v>565</v>
      </c>
      <c r="D10" s="31">
        <v>31001</v>
      </c>
      <c r="E10" s="65" t="str">
        <f>IF(D10="","",IFERROR(VLOOKUP(D10,角色_种族_敌方!B:C,2,FALSE),"ERROR"))</f>
        <v>地精</v>
      </c>
      <c r="F10" s="66">
        <f t="shared" si="0"/>
        <v>4</v>
      </c>
      <c r="G10" s="68" t="s">
        <v>207</v>
      </c>
      <c r="H10" s="69">
        <v>4</v>
      </c>
      <c r="I10" s="70"/>
      <c r="J10" s="74"/>
      <c r="K10" s="74">
        <v>200</v>
      </c>
      <c r="L10" s="75" t="s">
        <v>140</v>
      </c>
      <c r="M10" s="81" t="s">
        <v>566</v>
      </c>
      <c r="N10" s="78">
        <v>0</v>
      </c>
      <c r="O10" s="79">
        <v>10</v>
      </c>
      <c r="P10" s="80">
        <v>14</v>
      </c>
      <c r="Q10" s="80">
        <v>10</v>
      </c>
      <c r="R10" s="80">
        <v>10</v>
      </c>
      <c r="S10" s="80">
        <v>8</v>
      </c>
      <c r="T10" s="80">
        <v>10</v>
      </c>
      <c r="U10" s="17" t="s">
        <v>507</v>
      </c>
      <c r="V10" s="17">
        <v>18</v>
      </c>
      <c r="W10" s="17">
        <v>5</v>
      </c>
      <c r="X10" s="17">
        <v>2</v>
      </c>
      <c r="Y10" s="17"/>
      <c r="Z10" s="17"/>
      <c r="AA10" s="17"/>
      <c r="AB10" s="22"/>
      <c r="AC10" s="22"/>
      <c r="AD10" s="17"/>
      <c r="AE10" s="16">
        <v>42501</v>
      </c>
      <c r="AF10" s="16">
        <v>40501</v>
      </c>
      <c r="AG10" s="16">
        <v>40402</v>
      </c>
      <c r="AH10" s="16"/>
      <c r="AI10" s="16"/>
      <c r="AJ10" s="16"/>
      <c r="AK10" s="16">
        <v>41701</v>
      </c>
      <c r="AL10" s="16">
        <v>40501</v>
      </c>
      <c r="AM10" s="16">
        <v>40402</v>
      </c>
      <c r="AN10" s="16"/>
      <c r="AO10" s="16"/>
      <c r="AP10" s="16"/>
      <c r="AQ10" s="22" t="str">
        <f>IF(AE10=0,"无",IFERROR(VLOOKUP(AE10,角色_装备!B:C,2,FALSE),"ERROR"))</f>
        <v>弯刀</v>
      </c>
      <c r="AR10" s="22" t="str">
        <f>IF(AF10=0,"无",IFERROR(VLOOKUP(AF10,角色_装备!B:C,2,FALSE),"ERROR"))</f>
        <v>盾牌</v>
      </c>
      <c r="AS10" s="22" t="str">
        <f>IF(AG10=0,"无",IFERROR(VLOOKUP(AG10,角色_装备!B:C,2,FALSE),"ERROR"))</f>
        <v>链甲</v>
      </c>
      <c r="AT10" s="17"/>
      <c r="AU10" s="17"/>
      <c r="AV10" s="17"/>
      <c r="AW10" s="22" t="str">
        <f>IF(AK10=0,"无",IFERROR(VLOOKUP(AK10,角色_装备!B:C,2,FALSE),"ERROR"))</f>
        <v>战斧</v>
      </c>
      <c r="AX10" s="22" t="str">
        <f>IF(AL10=0,"无",IFERROR(VLOOKUP(AL10,角色_装备!B:C,2,FALSE),"ERROR"))</f>
        <v>盾牌</v>
      </c>
      <c r="AY10" s="22" t="str">
        <f>IF(AM10=0,"无",IFERROR(VLOOKUP(AM10,角色_装备!B:C,2,FALSE),"ERROR"))</f>
        <v>链甲</v>
      </c>
      <c r="AZ10" s="17"/>
      <c r="BA10" s="17"/>
      <c r="BB10" s="17"/>
    </row>
    <row r="11" spans="1:54">
      <c r="A11" s="5"/>
      <c r="B11" s="65">
        <v>65006</v>
      </c>
      <c r="C11" s="31" t="s">
        <v>567</v>
      </c>
      <c r="D11" s="31">
        <v>31002</v>
      </c>
      <c r="E11" s="65" t="str">
        <f>IF(D11="","",IFERROR(VLOOKUP(D11,角色_种族_敌方!B:C,2,FALSE),"ERROR"))</f>
        <v>类地精</v>
      </c>
      <c r="F11" s="66">
        <f t="shared" si="0"/>
        <v>3</v>
      </c>
      <c r="G11" s="68" t="s">
        <v>207</v>
      </c>
      <c r="H11" s="69">
        <v>3</v>
      </c>
      <c r="I11" s="70"/>
      <c r="J11" s="74"/>
      <c r="K11" s="74">
        <v>700</v>
      </c>
      <c r="L11" s="75" t="s">
        <v>140</v>
      </c>
      <c r="M11" s="81" t="s">
        <v>568</v>
      </c>
      <c r="N11" s="82">
        <v>0</v>
      </c>
      <c r="O11" s="79">
        <v>17</v>
      </c>
      <c r="P11" s="80">
        <v>14</v>
      </c>
      <c r="Q11" s="80">
        <v>14</v>
      </c>
      <c r="R11" s="80">
        <v>8</v>
      </c>
      <c r="S11" s="80">
        <v>12</v>
      </c>
      <c r="T11" s="80">
        <v>11</v>
      </c>
      <c r="U11" s="22" t="s">
        <v>507</v>
      </c>
      <c r="V11" s="17">
        <v>14</v>
      </c>
      <c r="W11" s="17">
        <v>6</v>
      </c>
      <c r="X11" s="17">
        <v>2</v>
      </c>
      <c r="Y11" s="17">
        <v>50018</v>
      </c>
      <c r="Z11" s="17"/>
      <c r="AA11" s="17"/>
      <c r="AB11" s="22"/>
      <c r="AC11" s="22"/>
      <c r="AD11" s="17"/>
      <c r="AE11" s="16">
        <v>42201</v>
      </c>
      <c r="AF11" s="16">
        <v>0</v>
      </c>
      <c r="AG11" s="16">
        <v>40402</v>
      </c>
      <c r="AH11" s="16"/>
      <c r="AI11" s="16"/>
      <c r="AJ11" s="16"/>
      <c r="AK11" s="16">
        <v>42201</v>
      </c>
      <c r="AL11" s="16">
        <v>0</v>
      </c>
      <c r="AM11" s="16">
        <v>40401</v>
      </c>
      <c r="AN11" s="16"/>
      <c r="AO11" s="16"/>
      <c r="AP11" s="16"/>
      <c r="AQ11" s="22" t="str">
        <f>IF(AE11=0,"无",IFERROR(VLOOKUP(AE11,角色_装备!B:C,2,FALSE),"ERROR"))</f>
        <v>巨锤</v>
      </c>
      <c r="AR11" s="22" t="str">
        <f>IF(AF11=0,"无",IFERROR(VLOOKUP(AF11,角色_装备!B:C,2,FALSE),"ERROR"))</f>
        <v>无</v>
      </c>
      <c r="AS11" s="22" t="str">
        <f>IF(AG11=0,"无",IFERROR(VLOOKUP(AG11,角色_装备!B:C,2,FALSE),"ERROR"))</f>
        <v>链甲</v>
      </c>
      <c r="AT11" s="17"/>
      <c r="AU11" s="17"/>
      <c r="AV11" s="17"/>
      <c r="AW11" s="22" t="str">
        <f>IF(AK11=0,"无",IFERROR(VLOOKUP(AK11,角色_装备!B:C,2,FALSE),"ERROR"))</f>
        <v>巨锤</v>
      </c>
      <c r="AX11" s="22" t="str">
        <f>IF(AL11=0,"无",IFERROR(VLOOKUP(AL11,角色_装备!B:C,2,FALSE),"ERROR"))</f>
        <v>无</v>
      </c>
      <c r="AY11" s="22" t="str">
        <f>IF(AM11=0,"无",IFERROR(VLOOKUP(AM11,角色_装备!B:C,2,FALSE),"ERROR"))</f>
        <v>环甲</v>
      </c>
      <c r="AZ11" s="17"/>
      <c r="BA11" s="17"/>
      <c r="BB11" s="17"/>
    </row>
    <row r="12" spans="1:54">
      <c r="A12" s="5"/>
      <c r="B12" s="31"/>
      <c r="C12" s="31"/>
      <c r="D12" s="31"/>
      <c r="E12" s="65"/>
      <c r="F12" s="69"/>
      <c r="G12" s="70"/>
      <c r="H12" s="69"/>
      <c r="I12" s="70"/>
      <c r="J12" s="74"/>
      <c r="K12" s="74"/>
      <c r="L12" s="74"/>
      <c r="M12" s="81"/>
      <c r="O12" s="83"/>
      <c r="P12" s="17"/>
      <c r="Q12" s="17"/>
      <c r="R12" s="17"/>
      <c r="S12" s="80"/>
      <c r="T12" s="80"/>
      <c r="U12" s="17"/>
      <c r="V12" s="17"/>
      <c r="W12" s="17"/>
      <c r="X12" s="17"/>
      <c r="Y12" s="17"/>
      <c r="Z12" s="17"/>
      <c r="AA12" s="17"/>
      <c r="AB12" s="22"/>
      <c r="AC12" s="22"/>
      <c r="AD12" s="17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</row>
    <row r="13" spans="1:54">
      <c r="A13" s="5"/>
      <c r="B13" s="31"/>
      <c r="C13" s="31"/>
      <c r="D13" s="31"/>
      <c r="E13" s="65" t="str">
        <f>IF(D13="","",IFERROR(VLOOKUP(D13,角色_种族_友方!B:C,2,FALSE),"ERROR"))</f>
        <v/>
      </c>
      <c r="F13" s="69"/>
      <c r="G13" s="70"/>
      <c r="H13" s="69"/>
      <c r="I13" s="70"/>
      <c r="J13" s="74"/>
      <c r="K13" s="74"/>
      <c r="L13" s="74"/>
      <c r="M13" s="81"/>
      <c r="N13" s="82"/>
      <c r="O13" s="79"/>
      <c r="P13" s="80"/>
      <c r="Q13" s="80"/>
      <c r="R13" s="80"/>
      <c r="S13" s="80"/>
      <c r="T13" s="80"/>
      <c r="U13" s="17"/>
      <c r="V13" s="17"/>
      <c r="W13" s="17"/>
      <c r="X13" s="17"/>
      <c r="Y13" s="17"/>
      <c r="Z13" s="17"/>
      <c r="AA13" s="17"/>
      <c r="AB13" s="22" t="str">
        <f>IF(Y13="","",IFERROR(VLOOKUP(Y13,角色_能力!B:C,2,FALSE),"ERROR"))</f>
        <v/>
      </c>
      <c r="AC13" s="22" t="str">
        <f>IF(Z13="","",IFERROR(VLOOKUP(Z13,角色_能力!B:C,2,FALSE),"ERROR"))</f>
        <v/>
      </c>
      <c r="AD13" s="17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7" t="str">
        <f>IF(AE13="","",IFERROR(VLOOKUP(AE13,角色_装备!B:C,2,FALSE),"ERROR"))</f>
        <v/>
      </c>
      <c r="AR13" s="17" t="str">
        <f>IF(AF13="","",IFERROR(VLOOKUP(AF13,角色_装备!B:C,2,FALSE),"ERROR"))</f>
        <v/>
      </c>
      <c r="AS13" s="17" t="str">
        <f>IF(AG13="","",IFERROR(VLOOKUP(AG13,角色_装备!B:C,2,FALSE),"ERROR"))</f>
        <v/>
      </c>
      <c r="AT13" s="17"/>
      <c r="AU13" s="17"/>
      <c r="AV13" s="17"/>
      <c r="AW13" s="17" t="str">
        <f>IF(AK13="","",IFERROR(VLOOKUP(AK13,角色_装备!B:C,2,FALSE),"ERROR"))</f>
        <v/>
      </c>
      <c r="AX13" s="17" t="str">
        <f>IF(AL13="","",IFERROR(VLOOKUP(AL13,角色_装备!B:C,2,FALSE),"ERROR"))</f>
        <v/>
      </c>
      <c r="AY13" s="17" t="str">
        <f>IF(AM13="","",IFERROR(VLOOKUP(AM13,角色_装备!B:C,2,FALSE),"ERROR"))</f>
        <v/>
      </c>
      <c r="AZ13" s="17"/>
      <c r="BA13" s="17"/>
      <c r="BB13" s="17"/>
    </row>
    <row r="14" spans="1:54">
      <c r="A14" s="5"/>
      <c r="B14" s="31"/>
      <c r="C14" s="31"/>
      <c r="D14" s="31"/>
      <c r="E14" s="65" t="str">
        <f>IF(D14="","",IFERROR(VLOOKUP(D14,角色_种族_友方!B:C,2,FALSE),"ERROR"))</f>
        <v/>
      </c>
      <c r="F14" s="69"/>
      <c r="G14" s="70"/>
      <c r="H14" s="69"/>
      <c r="I14" s="70"/>
      <c r="J14" s="74"/>
      <c r="K14" s="74"/>
      <c r="L14" s="74"/>
      <c r="M14" s="81"/>
      <c r="N14" s="82"/>
      <c r="O14" s="79"/>
      <c r="P14" s="80"/>
      <c r="Q14" s="80"/>
      <c r="R14" s="80"/>
      <c r="S14" s="80"/>
      <c r="T14" s="80"/>
      <c r="U14" s="17"/>
      <c r="V14" s="17"/>
      <c r="W14" s="17"/>
      <c r="X14" s="17"/>
      <c r="Y14" s="17"/>
      <c r="Z14" s="17"/>
      <c r="AA14" s="17"/>
      <c r="AB14" s="22" t="str">
        <f>IF(Y14="","",IFERROR(VLOOKUP(Y14,角色_能力!B:C,2,FALSE),"ERROR"))</f>
        <v/>
      </c>
      <c r="AC14" s="22" t="str">
        <f>IF(Z14="","",IFERROR(VLOOKUP(Z14,角色_能力!B:C,2,FALSE),"ERROR"))</f>
        <v/>
      </c>
      <c r="AD14" s="17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7" t="str">
        <f>IF(AE14="","",IFERROR(VLOOKUP(AE14,角色_装备!B:C,2,FALSE),"ERROR"))</f>
        <v/>
      </c>
      <c r="AR14" s="17" t="str">
        <f>IF(AF14="","",IFERROR(VLOOKUP(AF14,角色_装备!B:C,2,FALSE),"ERROR"))</f>
        <v/>
      </c>
      <c r="AS14" s="17" t="str">
        <f>IF(AG14="","",IFERROR(VLOOKUP(AG14,角色_装备!B:C,2,FALSE),"ERROR"))</f>
        <v/>
      </c>
      <c r="AT14" s="17"/>
      <c r="AU14" s="17"/>
      <c r="AV14" s="17"/>
      <c r="AW14" s="17" t="str">
        <f>IF(AK14="","",IFERROR(VLOOKUP(AK14,角色_装备!B:C,2,FALSE),"ERROR"))</f>
        <v/>
      </c>
      <c r="AX14" s="17" t="str">
        <f>IF(AL14="","",IFERROR(VLOOKUP(AL14,角色_装备!B:C,2,FALSE),"ERROR"))</f>
        <v/>
      </c>
      <c r="AY14" s="17" t="str">
        <f>IF(AM14="","",IFERROR(VLOOKUP(AM14,角色_装备!B:C,2,FALSE),"ERROR"))</f>
        <v/>
      </c>
      <c r="AZ14" s="17"/>
      <c r="BA14" s="17"/>
      <c r="BB14" s="17"/>
    </row>
    <row r="15" spans="1:54">
      <c r="A15" s="5"/>
      <c r="B15" s="31"/>
      <c r="C15" s="31"/>
      <c r="D15" s="31"/>
      <c r="E15" s="65" t="str">
        <f>IF(D15="","",IFERROR(VLOOKUP(D15,角色_种族_友方!B:C,2,FALSE),"ERROR"))</f>
        <v/>
      </c>
      <c r="F15" s="69"/>
      <c r="G15" s="70"/>
      <c r="H15" s="69"/>
      <c r="I15" s="70"/>
      <c r="J15" s="74"/>
      <c r="K15" s="74"/>
      <c r="L15" s="75"/>
      <c r="M15" s="81"/>
      <c r="N15" s="82"/>
      <c r="O15" s="79"/>
      <c r="P15" s="80"/>
      <c r="Q15" s="80"/>
      <c r="R15" s="80"/>
      <c r="S15" s="80"/>
      <c r="T15" s="80"/>
      <c r="U15" s="17"/>
      <c r="V15" s="17"/>
      <c r="W15" s="17"/>
      <c r="X15" s="17"/>
      <c r="Y15" s="17"/>
      <c r="Z15" s="17"/>
      <c r="AA15" s="17"/>
      <c r="AB15" s="22" t="str">
        <f>IF(Y15="","",IFERROR(VLOOKUP(Y15,角色_能力!B:C,2,FALSE),"ERROR"))</f>
        <v/>
      </c>
      <c r="AC15" s="22" t="str">
        <f>IF(Z15="","",IFERROR(VLOOKUP(Z15,角色_能力!B:C,2,FALSE),"ERROR"))</f>
        <v/>
      </c>
      <c r="AD15" s="17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7" t="str">
        <f>IF(AE15="","",IFERROR(VLOOKUP(AE15,角色_装备!B:C,2,FALSE),"ERROR"))</f>
        <v/>
      </c>
      <c r="AR15" s="17" t="str">
        <f>IF(AF15="","",IFERROR(VLOOKUP(AF15,角色_装备!B:C,2,FALSE),"ERROR"))</f>
        <v/>
      </c>
      <c r="AS15" s="17" t="str">
        <f>IF(AG15="","",IFERROR(VLOOKUP(AG15,角色_装备!B:C,2,FALSE),"ERROR"))</f>
        <v/>
      </c>
      <c r="AT15" s="17"/>
      <c r="AU15" s="17"/>
      <c r="AV15" s="17"/>
      <c r="AW15" s="17" t="str">
        <f>IF(AK15="","",IFERROR(VLOOKUP(AK15,角色_装备!B:C,2,FALSE),"ERROR"))</f>
        <v/>
      </c>
      <c r="AX15" s="17" t="str">
        <f>IF(AL15="","",IFERROR(VLOOKUP(AL15,角色_装备!B:C,2,FALSE),"ERROR"))</f>
        <v/>
      </c>
      <c r="AY15" s="17" t="str">
        <f>IF(AM15="","",IFERROR(VLOOKUP(AM15,角色_装备!B:C,2,FALSE),"ERROR"))</f>
        <v/>
      </c>
      <c r="AZ15" s="17"/>
      <c r="BA15" s="17"/>
      <c r="BB15" s="17"/>
    </row>
    <row r="16" spans="1:54">
      <c r="A16" s="5"/>
      <c r="B16" s="31"/>
      <c r="C16" s="31"/>
      <c r="D16" s="31"/>
      <c r="E16" s="65" t="str">
        <f>IF(D16="","",IFERROR(VLOOKUP(D16,角色_种族_友方!B:C,2,FALSE),"ERROR"))</f>
        <v/>
      </c>
      <c r="F16" s="69"/>
      <c r="G16" s="70"/>
      <c r="H16" s="69"/>
      <c r="I16" s="70"/>
      <c r="J16" s="74"/>
      <c r="K16" s="74"/>
      <c r="L16" s="74"/>
      <c r="M16" s="81"/>
      <c r="N16" s="82"/>
      <c r="O16" s="79"/>
      <c r="P16" s="80"/>
      <c r="Q16" s="80"/>
      <c r="R16" s="80"/>
      <c r="S16" s="80"/>
      <c r="T16" s="80"/>
      <c r="U16" s="17"/>
      <c r="V16" s="17"/>
      <c r="W16" s="17"/>
      <c r="X16" s="17"/>
      <c r="Y16" s="17"/>
      <c r="Z16" s="17"/>
      <c r="AA16" s="17"/>
      <c r="AB16" s="22" t="str">
        <f>IF(Y16="","",IFERROR(VLOOKUP(Y16,角色_能力!B:C,2,FALSE),"ERROR"))</f>
        <v/>
      </c>
      <c r="AC16" s="22" t="str">
        <f>IF(Z16="","",IFERROR(VLOOKUP(Z16,角色_能力!B:C,2,FALSE),"ERROR"))</f>
        <v/>
      </c>
      <c r="AD16" s="17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7" t="str">
        <f>IF(AE16="","",IFERROR(VLOOKUP(AE16,角色_装备!B:C,2,FALSE),"ERROR"))</f>
        <v/>
      </c>
      <c r="AR16" s="17" t="str">
        <f>IF(AF16="","",IFERROR(VLOOKUP(AF16,角色_装备!B:C,2,FALSE),"ERROR"))</f>
        <v/>
      </c>
      <c r="AS16" s="17" t="str">
        <f>IF(AG16="","",IFERROR(VLOOKUP(AG16,角色_装备!B:C,2,FALSE),"ERROR"))</f>
        <v/>
      </c>
      <c r="AT16" s="17"/>
      <c r="AU16" s="17"/>
      <c r="AV16" s="17"/>
      <c r="AW16" s="17" t="str">
        <f>IF(AK16="","",IFERROR(VLOOKUP(AK16,角色_装备!B:C,2,FALSE),"ERROR"))</f>
        <v/>
      </c>
      <c r="AX16" s="17" t="str">
        <f>IF(AL16="","",IFERROR(VLOOKUP(AL16,角色_装备!B:C,2,FALSE),"ERROR"))</f>
        <v/>
      </c>
      <c r="AY16" s="17" t="str">
        <f>IF(AM16="","",IFERROR(VLOOKUP(AM16,角色_装备!B:C,2,FALSE),"ERROR"))</f>
        <v/>
      </c>
      <c r="AZ16" s="17"/>
      <c r="BA16" s="17"/>
      <c r="BB16" s="17"/>
    </row>
    <row r="17" spans="1:54">
      <c r="A17" s="5"/>
      <c r="B17" s="31"/>
      <c r="C17" s="31"/>
      <c r="D17" s="31"/>
      <c r="E17" s="65" t="str">
        <f>IF(D17="","",IFERROR(VLOOKUP(D17,角色_种族_友方!B:C,2,FALSE),"ERROR"))</f>
        <v/>
      </c>
      <c r="F17" s="69"/>
      <c r="G17" s="70"/>
      <c r="H17" s="69"/>
      <c r="I17" s="70"/>
      <c r="J17" s="74"/>
      <c r="K17" s="74"/>
      <c r="L17" s="74"/>
      <c r="M17" s="81"/>
      <c r="N17" s="82"/>
      <c r="O17" s="79"/>
      <c r="P17" s="80"/>
      <c r="Q17" s="80"/>
      <c r="R17" s="80"/>
      <c r="S17" s="80"/>
      <c r="T17" s="80"/>
      <c r="U17" s="17"/>
      <c r="V17" s="17"/>
      <c r="W17" s="17"/>
      <c r="X17" s="17"/>
      <c r="Y17" s="17"/>
      <c r="Z17" s="17"/>
      <c r="AA17" s="17"/>
      <c r="AB17" s="22" t="str">
        <f>IF(Y17="","",IFERROR(VLOOKUP(Y17,角色_能力!B:C,2,FALSE),"ERROR"))</f>
        <v/>
      </c>
      <c r="AC17" s="22" t="str">
        <f>IF(Z17="","",IFERROR(VLOOKUP(Z17,角色_能力!B:C,2,FALSE),"ERROR"))</f>
        <v/>
      </c>
      <c r="AD17" s="17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7" t="str">
        <f>IF(AE17="","",IFERROR(VLOOKUP(AE17,角色_装备!B:C,2,FALSE),"ERROR"))</f>
        <v/>
      </c>
      <c r="AR17" s="17" t="str">
        <f>IF(AF17="","",IFERROR(VLOOKUP(AF17,角色_装备!B:C,2,FALSE),"ERROR"))</f>
        <v/>
      </c>
      <c r="AS17" s="17" t="str">
        <f>IF(AG17="","",IFERROR(VLOOKUP(AG17,角色_装备!B:C,2,FALSE),"ERROR"))</f>
        <v/>
      </c>
      <c r="AT17" s="17"/>
      <c r="AU17" s="17"/>
      <c r="AV17" s="17"/>
      <c r="AW17" s="17" t="str">
        <f>IF(AK17="","",IFERROR(VLOOKUP(AK17,角色_装备!B:C,2,FALSE),"ERROR"))</f>
        <v/>
      </c>
      <c r="AX17" s="17" t="str">
        <f>IF(AL17="","",IFERROR(VLOOKUP(AL17,角色_装备!B:C,2,FALSE),"ERROR"))</f>
        <v/>
      </c>
      <c r="AY17" s="17" t="str">
        <f>IF(AM17="","",IFERROR(VLOOKUP(AM17,角色_装备!B:C,2,FALSE),"ERROR"))</f>
        <v/>
      </c>
      <c r="AZ17" s="17"/>
      <c r="BA17" s="17"/>
      <c r="BB17" s="17"/>
    </row>
    <row r="18" spans="1:54">
      <c r="A18" s="5"/>
      <c r="B18" s="31"/>
      <c r="C18" s="31"/>
      <c r="D18" s="31"/>
      <c r="E18" s="65" t="str">
        <f>IF(D18="","",IFERROR(VLOOKUP(D18,角色_种族_友方!B:C,2,FALSE),"ERROR"))</f>
        <v/>
      </c>
      <c r="F18" s="69"/>
      <c r="G18" s="70"/>
      <c r="H18" s="69"/>
      <c r="I18" s="70"/>
      <c r="J18" s="74"/>
      <c r="K18" s="74"/>
      <c r="L18" s="74"/>
      <c r="M18" s="81"/>
      <c r="N18" s="82"/>
      <c r="O18" s="79"/>
      <c r="P18" s="80"/>
      <c r="Q18" s="80"/>
      <c r="R18" s="80"/>
      <c r="S18" s="80"/>
      <c r="T18" s="80"/>
      <c r="U18" s="17"/>
      <c r="V18" s="17"/>
      <c r="W18" s="17"/>
      <c r="X18" s="17"/>
      <c r="Y18" s="17"/>
      <c r="Z18" s="17"/>
      <c r="AA18" s="17"/>
      <c r="AB18" s="22" t="str">
        <f>IF(Y18="","",IFERROR(VLOOKUP(Y18,角色_能力!B:C,2,FALSE),"ERROR"))</f>
        <v/>
      </c>
      <c r="AC18" s="22" t="str">
        <f>IF(Z18="","",IFERROR(VLOOKUP(Z18,角色_能力!B:C,2,FALSE),"ERROR"))</f>
        <v/>
      </c>
      <c r="AD18" s="17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7" t="str">
        <f>IF(AE18="","",IFERROR(VLOOKUP(AE18,角色_装备!B:C,2,FALSE),"ERROR"))</f>
        <v/>
      </c>
      <c r="AR18" s="17" t="str">
        <f>IF(AF18="","",IFERROR(VLOOKUP(AF18,角色_装备!B:C,2,FALSE),"ERROR"))</f>
        <v/>
      </c>
      <c r="AS18" s="17" t="str">
        <f>IF(AG18="","",IFERROR(VLOOKUP(AG18,角色_装备!B:C,2,FALSE),"ERROR"))</f>
        <v/>
      </c>
      <c r="AT18" s="17"/>
      <c r="AU18" s="17"/>
      <c r="AV18" s="17"/>
      <c r="AW18" s="17" t="str">
        <f>IF(AK18="","",IFERROR(VLOOKUP(AK18,角色_装备!B:C,2,FALSE),"ERROR"))</f>
        <v/>
      </c>
      <c r="AX18" s="17" t="str">
        <f>IF(AL18="","",IFERROR(VLOOKUP(AL18,角色_装备!B:C,2,FALSE),"ERROR"))</f>
        <v/>
      </c>
      <c r="AY18" s="17" t="str">
        <f>IF(AM18="","",IFERROR(VLOOKUP(AM18,角色_装备!B:C,2,FALSE),"ERROR"))</f>
        <v/>
      </c>
      <c r="AZ18" s="17"/>
      <c r="BA18" s="17"/>
      <c r="BB18" s="17"/>
    </row>
    <row r="19" spans="1:54">
      <c r="A19" s="5"/>
      <c r="B19" s="31"/>
      <c r="C19" s="31"/>
      <c r="D19" s="31"/>
      <c r="E19" s="65" t="str">
        <f>IF(D19="","",IFERROR(VLOOKUP(D19,角色_种族_友方!B:C,2,FALSE),"ERROR"))</f>
        <v/>
      </c>
      <c r="F19" s="69"/>
      <c r="G19" s="70"/>
      <c r="H19" s="69"/>
      <c r="I19" s="70"/>
      <c r="J19" s="74"/>
      <c r="K19" s="74"/>
      <c r="L19" s="74"/>
      <c r="M19" s="81"/>
      <c r="N19" s="82"/>
      <c r="O19" s="79"/>
      <c r="P19" s="80"/>
      <c r="Q19" s="80"/>
      <c r="R19" s="80"/>
      <c r="S19" s="80"/>
      <c r="T19" s="80"/>
      <c r="U19" s="17"/>
      <c r="V19" s="17"/>
      <c r="W19" s="17"/>
      <c r="X19" s="17"/>
      <c r="Y19" s="17"/>
      <c r="Z19" s="17"/>
      <c r="AA19" s="17"/>
      <c r="AB19" s="22" t="str">
        <f>IF(Y19="","",IFERROR(VLOOKUP(Y19,角色_能力!B:C,2,FALSE),"ERROR"))</f>
        <v/>
      </c>
      <c r="AC19" s="22" t="str">
        <f>IF(Z19="","",IFERROR(VLOOKUP(Z19,角色_能力!B:C,2,FALSE),"ERROR"))</f>
        <v/>
      </c>
      <c r="AD19" s="17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7" t="str">
        <f>IF(AE19="","",IFERROR(VLOOKUP(AE19,角色_装备!B:C,2,FALSE),"ERROR"))</f>
        <v/>
      </c>
      <c r="AR19" s="17" t="str">
        <f>IF(AF19="","",IFERROR(VLOOKUP(AF19,角色_装备!B:C,2,FALSE),"ERROR"))</f>
        <v/>
      </c>
      <c r="AS19" s="17" t="str">
        <f>IF(AG19="","",IFERROR(VLOOKUP(AG19,角色_装备!B:C,2,FALSE),"ERROR"))</f>
        <v/>
      </c>
      <c r="AT19" s="17"/>
      <c r="AU19" s="17"/>
      <c r="AV19" s="17"/>
      <c r="AW19" s="17" t="str">
        <f>IF(AK19="","",IFERROR(VLOOKUP(AK19,角色_装备!B:C,2,FALSE),"ERROR"))</f>
        <v/>
      </c>
      <c r="AX19" s="17" t="str">
        <f>IF(AL19="","",IFERROR(VLOOKUP(AL19,角色_装备!B:C,2,FALSE),"ERROR"))</f>
        <v/>
      </c>
      <c r="AY19" s="17" t="str">
        <f>IF(AM19="","",IFERROR(VLOOKUP(AM19,角色_装备!B:C,2,FALSE),"ERROR"))</f>
        <v/>
      </c>
      <c r="AZ19" s="17"/>
      <c r="BA19" s="17"/>
      <c r="BB19" s="17"/>
    </row>
    <row r="20" spans="1:54">
      <c r="A20" s="5"/>
      <c r="B20" s="31"/>
      <c r="C20" s="31"/>
      <c r="D20" s="31"/>
      <c r="E20" s="65" t="str">
        <f>IF(D20="","",IFERROR(VLOOKUP(D20,角色_种族_友方!B:C,2,FALSE),"ERROR"))</f>
        <v/>
      </c>
      <c r="F20" s="69"/>
      <c r="G20" s="70"/>
      <c r="H20" s="69"/>
      <c r="I20" s="70"/>
      <c r="J20" s="74"/>
      <c r="K20" s="74"/>
      <c r="L20" s="74"/>
      <c r="M20" s="81"/>
      <c r="N20" s="82"/>
      <c r="O20" s="79"/>
      <c r="P20" s="80"/>
      <c r="Q20" s="80"/>
      <c r="R20" s="80"/>
      <c r="S20" s="80"/>
      <c r="T20" s="80"/>
      <c r="U20" s="17"/>
      <c r="V20" s="17"/>
      <c r="W20" s="17"/>
      <c r="X20" s="17"/>
      <c r="Y20" s="17"/>
      <c r="Z20" s="17"/>
      <c r="AA20" s="17"/>
      <c r="AB20" s="22" t="str">
        <f>IF(Y20="","",IFERROR(VLOOKUP(Y20,角色_能力!B:C,2,FALSE),"ERROR"))</f>
        <v/>
      </c>
      <c r="AC20" s="22" t="str">
        <f>IF(Z20="","",IFERROR(VLOOKUP(Z20,角色_能力!B:C,2,FALSE),"ERROR"))</f>
        <v/>
      </c>
      <c r="AD20" s="17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7" t="str">
        <f>IF(AE20="","",IFERROR(VLOOKUP(AE20,角色_装备!B:C,2,FALSE),"ERROR"))</f>
        <v/>
      </c>
      <c r="AR20" s="17" t="str">
        <f>IF(AF20="","",IFERROR(VLOOKUP(AF20,角色_装备!B:C,2,FALSE),"ERROR"))</f>
        <v/>
      </c>
      <c r="AS20" s="17" t="str">
        <f>IF(AG20="","",IFERROR(VLOOKUP(AG20,角色_装备!B:C,2,FALSE),"ERROR"))</f>
        <v/>
      </c>
      <c r="AT20" s="17"/>
      <c r="AU20" s="17"/>
      <c r="AV20" s="17"/>
      <c r="AW20" s="17" t="str">
        <f>IF(AK20="","",IFERROR(VLOOKUP(AK20,角色_装备!B:C,2,FALSE),"ERROR"))</f>
        <v/>
      </c>
      <c r="AX20" s="17" t="str">
        <f>IF(AL20="","",IFERROR(VLOOKUP(AL20,角色_装备!B:C,2,FALSE),"ERROR"))</f>
        <v/>
      </c>
      <c r="AY20" s="17" t="str">
        <f>IF(AM20="","",IFERROR(VLOOKUP(AM20,角色_装备!B:C,2,FALSE),"ERROR"))</f>
        <v/>
      </c>
      <c r="AZ20" s="17"/>
      <c r="BA20" s="17"/>
      <c r="BB20" s="17"/>
    </row>
    <row r="21" spans="1:54">
      <c r="A21" s="5"/>
      <c r="B21" s="31"/>
      <c r="C21" s="31"/>
      <c r="D21" s="31"/>
      <c r="E21" s="65" t="str">
        <f>IF(D21="","",IFERROR(VLOOKUP(D21,角色_种族_友方!B:C,2,FALSE),"ERROR"))</f>
        <v/>
      </c>
      <c r="F21" s="69"/>
      <c r="G21" s="70"/>
      <c r="H21" s="69"/>
      <c r="I21" s="70"/>
      <c r="J21" s="74"/>
      <c r="K21" s="74"/>
      <c r="L21" s="74"/>
      <c r="M21" s="81"/>
      <c r="N21" s="82"/>
      <c r="O21" s="79"/>
      <c r="P21" s="80"/>
      <c r="Q21" s="80"/>
      <c r="R21" s="80"/>
      <c r="S21" s="80"/>
      <c r="T21" s="80"/>
      <c r="U21" s="17"/>
      <c r="V21" s="17"/>
      <c r="W21" s="17"/>
      <c r="X21" s="17"/>
      <c r="Y21" s="17"/>
      <c r="Z21" s="17"/>
      <c r="AA21" s="17"/>
      <c r="AB21" s="22" t="str">
        <f>IF(Y21="","",IFERROR(VLOOKUP(Y21,角色_能力!B:C,2,FALSE),"ERROR"))</f>
        <v/>
      </c>
      <c r="AC21" s="22" t="str">
        <f>IF(Z21="","",IFERROR(VLOOKUP(Z21,角色_能力!B:C,2,FALSE),"ERROR"))</f>
        <v/>
      </c>
      <c r="AD21" s="17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7" t="str">
        <f>IF(AE21="","",IFERROR(VLOOKUP(AE21,角色_装备!B:C,2,FALSE),"ERROR"))</f>
        <v/>
      </c>
      <c r="AR21" s="17" t="str">
        <f>IF(AF21="","",IFERROR(VLOOKUP(AF21,角色_装备!B:C,2,FALSE),"ERROR"))</f>
        <v/>
      </c>
      <c r="AS21" s="17" t="str">
        <f>IF(AG21="","",IFERROR(VLOOKUP(AG21,角色_装备!B:C,2,FALSE),"ERROR"))</f>
        <v/>
      </c>
      <c r="AT21" s="17"/>
      <c r="AU21" s="17"/>
      <c r="AV21" s="17"/>
      <c r="AW21" s="17" t="str">
        <f>IF(AK21="","",IFERROR(VLOOKUP(AK21,角色_装备!B:C,2,FALSE),"ERROR"))</f>
        <v/>
      </c>
      <c r="AX21" s="17" t="str">
        <f>IF(AL21="","",IFERROR(VLOOKUP(AL21,角色_装备!B:C,2,FALSE),"ERROR"))</f>
        <v/>
      </c>
      <c r="AY21" s="17" t="str">
        <f>IF(AM21="","",IFERROR(VLOOKUP(AM21,角色_装备!B:C,2,FALSE),"ERROR"))</f>
        <v/>
      </c>
      <c r="AZ21" s="17"/>
      <c r="BA21" s="17"/>
      <c r="BB21" s="17"/>
    </row>
    <row r="22" spans="1:54">
      <c r="A22" s="5"/>
      <c r="B22" s="31"/>
      <c r="C22" s="31"/>
      <c r="D22" s="31"/>
      <c r="E22" s="65" t="str">
        <f>IF(D22="","",IFERROR(VLOOKUP(D22,角色_种族_友方!B:C,2,FALSE),"ERROR"))</f>
        <v/>
      </c>
      <c r="F22" s="69"/>
      <c r="G22" s="70"/>
      <c r="H22" s="69"/>
      <c r="I22" s="70"/>
      <c r="J22" s="74"/>
      <c r="K22" s="74"/>
      <c r="L22" s="74"/>
      <c r="M22" s="81"/>
      <c r="N22" s="82"/>
      <c r="O22" s="79"/>
      <c r="P22" s="80"/>
      <c r="Q22" s="80"/>
      <c r="R22" s="80"/>
      <c r="S22" s="80"/>
      <c r="T22" s="80"/>
      <c r="U22" s="17"/>
      <c r="V22" s="17"/>
      <c r="W22" s="17"/>
      <c r="X22" s="17"/>
      <c r="Y22" s="17"/>
      <c r="Z22" s="17"/>
      <c r="AA22" s="17"/>
      <c r="AB22" s="22" t="str">
        <f>IF(Y22="","",IFERROR(VLOOKUP(Y22,角色_能力!B:C,2,FALSE),"ERROR"))</f>
        <v/>
      </c>
      <c r="AC22" s="22" t="str">
        <f>IF(Z22="","",IFERROR(VLOOKUP(Z22,角色_能力!B:C,2,FALSE),"ERROR"))</f>
        <v/>
      </c>
      <c r="AD22" s="17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7" t="str">
        <f>IF(AE22="","",IFERROR(VLOOKUP(AE22,角色_装备!B:C,2,FALSE),"ERROR"))</f>
        <v/>
      </c>
      <c r="AR22" s="17" t="str">
        <f>IF(AF22="","",IFERROR(VLOOKUP(AF22,角色_装备!B:C,2,FALSE),"ERROR"))</f>
        <v/>
      </c>
      <c r="AS22" s="17" t="str">
        <f>IF(AG22="","",IFERROR(VLOOKUP(AG22,角色_装备!B:C,2,FALSE),"ERROR"))</f>
        <v/>
      </c>
      <c r="AT22" s="17"/>
      <c r="AU22" s="17"/>
      <c r="AV22" s="17"/>
      <c r="AW22" s="17" t="str">
        <f>IF(AK22="","",IFERROR(VLOOKUP(AK22,角色_装备!B:C,2,FALSE),"ERROR"))</f>
        <v/>
      </c>
      <c r="AX22" s="17" t="str">
        <f>IF(AL22="","",IFERROR(VLOOKUP(AL22,角色_装备!B:C,2,FALSE),"ERROR"))</f>
        <v/>
      </c>
      <c r="AY22" s="17" t="str">
        <f>IF(AM22="","",IFERROR(VLOOKUP(AM22,角色_装备!B:C,2,FALSE),"ERROR"))</f>
        <v/>
      </c>
      <c r="AZ22" s="17"/>
      <c r="BA22" s="17"/>
      <c r="BB22" s="17"/>
    </row>
    <row r="23" spans="1:54">
      <c r="A23" s="5"/>
      <c r="B23" s="31"/>
      <c r="C23" s="31"/>
      <c r="D23" s="31"/>
      <c r="E23" s="65" t="str">
        <f>IF(D23="","",IFERROR(VLOOKUP(D23,角色_种族_友方!B:C,2,FALSE),"ERROR"))</f>
        <v/>
      </c>
      <c r="F23" s="69"/>
      <c r="G23" s="70"/>
      <c r="H23" s="69"/>
      <c r="I23" s="70"/>
      <c r="J23" s="74"/>
      <c r="K23" s="74"/>
      <c r="L23" s="74"/>
      <c r="M23" s="81"/>
      <c r="N23" s="82"/>
      <c r="O23" s="79"/>
      <c r="P23" s="80"/>
      <c r="Q23" s="80"/>
      <c r="R23" s="80"/>
      <c r="S23" s="80"/>
      <c r="T23" s="80"/>
      <c r="U23" s="17"/>
      <c r="V23" s="17"/>
      <c r="W23" s="17"/>
      <c r="X23" s="17"/>
      <c r="Y23" s="17"/>
      <c r="Z23" s="17"/>
      <c r="AA23" s="17"/>
      <c r="AB23" s="22" t="str">
        <f>IF(Y23="","",IFERROR(VLOOKUP(Y23,角色_能力!B:C,2,FALSE),"ERROR"))</f>
        <v/>
      </c>
      <c r="AC23" s="22" t="str">
        <f>IF(Z23="","",IFERROR(VLOOKUP(Z23,角色_能力!B:C,2,FALSE),"ERROR"))</f>
        <v/>
      </c>
      <c r="AD23" s="17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 t="str">
        <f>IF(AE23="","",IFERROR(VLOOKUP(AE23,角色_装备!B:C,2,FALSE),"ERROR"))</f>
        <v/>
      </c>
      <c r="AR23" s="17" t="str">
        <f>IF(AF23="","",IFERROR(VLOOKUP(AF23,角色_装备!B:C,2,FALSE),"ERROR"))</f>
        <v/>
      </c>
      <c r="AS23" s="17" t="str">
        <f>IF(AG23="","",IFERROR(VLOOKUP(AG23,角色_装备!B:C,2,FALSE),"ERROR"))</f>
        <v/>
      </c>
      <c r="AT23" s="17"/>
      <c r="AU23" s="17"/>
      <c r="AV23" s="17"/>
      <c r="AW23" s="17" t="str">
        <f>IF(AK23="","",IFERROR(VLOOKUP(AK23,角色_装备!B:C,2,FALSE),"ERROR"))</f>
        <v/>
      </c>
      <c r="AX23" s="17" t="str">
        <f>IF(AL23="","",IFERROR(VLOOKUP(AL23,角色_装备!B:C,2,FALSE),"ERROR"))</f>
        <v/>
      </c>
      <c r="AY23" s="17" t="str">
        <f>IF(AM23="","",IFERROR(VLOOKUP(AM23,角色_装备!B:C,2,FALSE),"ERROR"))</f>
        <v/>
      </c>
      <c r="AZ23" s="17"/>
      <c r="BA23" s="17"/>
      <c r="BB23" s="17"/>
    </row>
    <row r="24" spans="1:54">
      <c r="A24" s="5"/>
      <c r="B24" s="31"/>
      <c r="C24" s="31"/>
      <c r="D24" s="31"/>
      <c r="E24" s="65" t="str">
        <f>IF(D24="","",IFERROR(VLOOKUP(D24,角色_种族_友方!B:C,2,FALSE),"ERROR"))</f>
        <v/>
      </c>
      <c r="F24" s="69"/>
      <c r="G24" s="70"/>
      <c r="H24" s="69"/>
      <c r="I24" s="70"/>
      <c r="J24" s="74"/>
      <c r="K24" s="74"/>
      <c r="L24" s="74"/>
      <c r="M24" s="81"/>
      <c r="N24" s="82"/>
      <c r="O24" s="79"/>
      <c r="P24" s="80"/>
      <c r="Q24" s="80"/>
      <c r="R24" s="80"/>
      <c r="S24" s="80"/>
      <c r="T24" s="80"/>
      <c r="U24" s="17"/>
      <c r="V24" s="17"/>
      <c r="W24" s="17"/>
      <c r="X24" s="17"/>
      <c r="Y24" s="17"/>
      <c r="Z24" s="17"/>
      <c r="AA24" s="17"/>
      <c r="AB24" s="22" t="str">
        <f>IF(Y24="","",IFERROR(VLOOKUP(Y24,角色_能力!B:C,2,FALSE),"ERROR"))</f>
        <v/>
      </c>
      <c r="AC24" s="22" t="str">
        <f>IF(Z24="","",IFERROR(VLOOKUP(Z24,角色_能力!B:C,2,FALSE),"ERROR"))</f>
        <v/>
      </c>
      <c r="AD24" s="17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7" t="str">
        <f>IF(AE24="","",IFERROR(VLOOKUP(AE24,角色_装备!B:C,2,FALSE),"ERROR"))</f>
        <v/>
      </c>
      <c r="AR24" s="17" t="str">
        <f>IF(AF24="","",IFERROR(VLOOKUP(AF24,角色_装备!B:C,2,FALSE),"ERROR"))</f>
        <v/>
      </c>
      <c r="AS24" s="17" t="str">
        <f>IF(AG24="","",IFERROR(VLOOKUP(AG24,角色_装备!B:C,2,FALSE),"ERROR"))</f>
        <v/>
      </c>
      <c r="AT24" s="17"/>
      <c r="AU24" s="17"/>
      <c r="AV24" s="17"/>
      <c r="AW24" s="17" t="str">
        <f>IF(AK24="","",IFERROR(VLOOKUP(AK24,角色_装备!B:C,2,FALSE),"ERROR"))</f>
        <v/>
      </c>
      <c r="AX24" s="17" t="str">
        <f>IF(AL24="","",IFERROR(VLOOKUP(AL24,角色_装备!B:C,2,FALSE),"ERROR"))</f>
        <v/>
      </c>
      <c r="AY24" s="17" t="str">
        <f>IF(AM24="","",IFERROR(VLOOKUP(AM24,角色_装备!B:C,2,FALSE),"ERROR"))</f>
        <v/>
      </c>
      <c r="AZ24" s="17"/>
      <c r="BA24" s="17"/>
      <c r="BB24" s="17"/>
    </row>
    <row r="25" spans="1:54">
      <c r="A25" s="5"/>
      <c r="B25" s="31"/>
      <c r="C25" s="31"/>
      <c r="D25" s="31"/>
      <c r="E25" s="65" t="str">
        <f>IF(D25="","",IFERROR(VLOOKUP(D25,角色_种族_友方!B:C,2,FALSE),"ERROR"))</f>
        <v/>
      </c>
      <c r="F25" s="69"/>
      <c r="G25" s="70"/>
      <c r="H25" s="69"/>
      <c r="I25" s="70"/>
      <c r="J25" s="74"/>
      <c r="K25" s="74"/>
      <c r="L25" s="74"/>
      <c r="M25" s="81"/>
      <c r="N25" s="82"/>
      <c r="O25" s="79"/>
      <c r="P25" s="80"/>
      <c r="Q25" s="80"/>
      <c r="R25" s="80"/>
      <c r="S25" s="80"/>
      <c r="T25" s="80"/>
      <c r="U25" s="17"/>
      <c r="V25" s="17"/>
      <c r="W25" s="17"/>
      <c r="X25" s="17"/>
      <c r="Y25" s="17"/>
      <c r="Z25" s="17"/>
      <c r="AA25" s="17"/>
      <c r="AB25" s="22" t="str">
        <f>IF(Y25="","",IFERROR(VLOOKUP(Y25,角色_能力!B:C,2,FALSE),"ERROR"))</f>
        <v/>
      </c>
      <c r="AC25" s="22" t="str">
        <f>IF(Z25="","",IFERROR(VLOOKUP(Z25,角色_能力!B:C,2,FALSE),"ERROR"))</f>
        <v/>
      </c>
      <c r="AD25" s="17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7" t="str">
        <f>IF(AE25="","",IFERROR(VLOOKUP(AE25,角色_装备!B:C,2,FALSE),"ERROR"))</f>
        <v/>
      </c>
      <c r="AR25" s="17" t="str">
        <f>IF(AF25="","",IFERROR(VLOOKUP(AF25,角色_装备!B:C,2,FALSE),"ERROR"))</f>
        <v/>
      </c>
      <c r="AS25" s="17" t="str">
        <f>IF(AG25="","",IFERROR(VLOOKUP(AG25,角色_装备!B:C,2,FALSE),"ERROR"))</f>
        <v/>
      </c>
      <c r="AT25" s="17"/>
      <c r="AU25" s="17"/>
      <c r="AV25" s="17"/>
      <c r="AW25" s="17" t="str">
        <f>IF(AK25="","",IFERROR(VLOOKUP(AK25,角色_装备!B:C,2,FALSE),"ERROR"))</f>
        <v/>
      </c>
      <c r="AX25" s="17" t="str">
        <f>IF(AL25="","",IFERROR(VLOOKUP(AL25,角色_装备!B:C,2,FALSE),"ERROR"))</f>
        <v/>
      </c>
      <c r="AY25" s="17" t="str">
        <f>IF(AM25="","",IFERROR(VLOOKUP(AM25,角色_装备!B:C,2,FALSE),"ERROR"))</f>
        <v/>
      </c>
      <c r="AZ25" s="17"/>
      <c r="BA25" s="17"/>
      <c r="BB25" s="17"/>
    </row>
    <row r="26" spans="1:54">
      <c r="A26" s="5"/>
      <c r="B26" s="31"/>
      <c r="C26" s="31"/>
      <c r="D26" s="31"/>
      <c r="E26" s="65" t="str">
        <f>IF(D26="","",IFERROR(VLOOKUP(D26,角色_种族_友方!B:C,2,FALSE),"ERROR"))</f>
        <v/>
      </c>
      <c r="F26" s="69"/>
      <c r="G26" s="70"/>
      <c r="H26" s="69"/>
      <c r="I26" s="70"/>
      <c r="J26" s="74"/>
      <c r="K26" s="74"/>
      <c r="L26" s="74"/>
      <c r="M26" s="81"/>
      <c r="N26" s="82"/>
      <c r="O26" s="79"/>
      <c r="P26" s="80"/>
      <c r="Q26" s="80"/>
      <c r="R26" s="80"/>
      <c r="S26" s="80"/>
      <c r="T26" s="80"/>
      <c r="U26" s="17"/>
      <c r="V26" s="17"/>
      <c r="W26" s="17"/>
      <c r="X26" s="17"/>
      <c r="Y26" s="17"/>
      <c r="Z26" s="17"/>
      <c r="AA26" s="17"/>
      <c r="AB26" s="22" t="str">
        <f>IF(Y26="","",IFERROR(VLOOKUP(Y26,角色_能力!B:C,2,FALSE),"ERROR"))</f>
        <v/>
      </c>
      <c r="AC26" s="22" t="str">
        <f>IF(Z26="","",IFERROR(VLOOKUP(Z26,角色_能力!B:C,2,FALSE),"ERROR"))</f>
        <v/>
      </c>
      <c r="AD26" s="17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7" t="str">
        <f>IF(AE26="","",IFERROR(VLOOKUP(AE26,角色_装备!B:C,2,FALSE),"ERROR"))</f>
        <v/>
      </c>
      <c r="AR26" s="17" t="str">
        <f>IF(AF26="","",IFERROR(VLOOKUP(AF26,角色_装备!B:C,2,FALSE),"ERROR"))</f>
        <v/>
      </c>
      <c r="AS26" s="17" t="str">
        <f>IF(AG26="","",IFERROR(VLOOKUP(AG26,角色_装备!B:C,2,FALSE),"ERROR"))</f>
        <v/>
      </c>
      <c r="AT26" s="17"/>
      <c r="AU26" s="17"/>
      <c r="AV26" s="17"/>
      <c r="AW26" s="17" t="str">
        <f>IF(AK26="","",IFERROR(VLOOKUP(AK26,角色_装备!B:C,2,FALSE),"ERROR"))</f>
        <v/>
      </c>
      <c r="AX26" s="17" t="str">
        <f>IF(AL26="","",IFERROR(VLOOKUP(AL26,角色_装备!B:C,2,FALSE),"ERROR"))</f>
        <v/>
      </c>
      <c r="AY26" s="17" t="str">
        <f>IF(AM26="","",IFERROR(VLOOKUP(AM26,角色_装备!B:C,2,FALSE),"ERROR"))</f>
        <v/>
      </c>
      <c r="AZ26" s="17"/>
      <c r="BA26" s="17"/>
      <c r="BB26" s="17"/>
    </row>
    <row r="27" spans="1:54">
      <c r="A27" s="5"/>
      <c r="B27" s="31"/>
      <c r="C27" s="31"/>
      <c r="D27" s="31"/>
      <c r="E27" s="65" t="str">
        <f>IF(D27="","",IFERROR(VLOOKUP(D27,角色_种族_友方!B:C,2,FALSE),"ERROR"))</f>
        <v/>
      </c>
      <c r="F27" s="69"/>
      <c r="G27" s="70"/>
      <c r="H27" s="69"/>
      <c r="I27" s="70"/>
      <c r="J27" s="74"/>
      <c r="K27" s="74"/>
      <c r="L27" s="74"/>
      <c r="M27" s="81"/>
      <c r="N27" s="82"/>
      <c r="O27" s="79"/>
      <c r="P27" s="80"/>
      <c r="Q27" s="80"/>
      <c r="R27" s="80"/>
      <c r="S27" s="80"/>
      <c r="T27" s="80"/>
      <c r="U27" s="17"/>
      <c r="V27" s="17"/>
      <c r="W27" s="17"/>
      <c r="X27" s="17"/>
      <c r="Y27" s="17"/>
      <c r="Z27" s="17"/>
      <c r="AA27" s="17"/>
      <c r="AB27" s="22" t="str">
        <f>IF(Y27="","",IFERROR(VLOOKUP(Y27,角色_能力!B:C,2,FALSE),"ERROR"))</f>
        <v/>
      </c>
      <c r="AC27" s="22" t="str">
        <f>IF(Z27="","",IFERROR(VLOOKUP(Z27,角色_能力!B:C,2,FALSE),"ERROR"))</f>
        <v/>
      </c>
      <c r="AD27" s="17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7" t="str">
        <f>IF(AE27="","",IFERROR(VLOOKUP(AE27,角色_装备!B:C,2,FALSE),"ERROR"))</f>
        <v/>
      </c>
      <c r="AR27" s="17" t="str">
        <f>IF(AF27="","",IFERROR(VLOOKUP(AF27,角色_装备!B:C,2,FALSE),"ERROR"))</f>
        <v/>
      </c>
      <c r="AS27" s="17" t="str">
        <f>IF(AG27="","",IFERROR(VLOOKUP(AG27,角色_装备!B:C,2,FALSE),"ERROR"))</f>
        <v/>
      </c>
      <c r="AT27" s="17"/>
      <c r="AU27" s="17"/>
      <c r="AV27" s="17"/>
      <c r="AW27" s="17" t="str">
        <f>IF(AK27="","",IFERROR(VLOOKUP(AK27,角色_装备!B:C,2,FALSE),"ERROR"))</f>
        <v/>
      </c>
      <c r="AX27" s="17" t="str">
        <f>IF(AL27="","",IFERROR(VLOOKUP(AL27,角色_装备!B:C,2,FALSE),"ERROR"))</f>
        <v/>
      </c>
      <c r="AY27" s="17" t="str">
        <f>IF(AM27="","",IFERROR(VLOOKUP(AM27,角色_装备!B:C,2,FALSE),"ERROR"))</f>
        <v/>
      </c>
      <c r="AZ27" s="17"/>
      <c r="BA27" s="17"/>
      <c r="BB27" s="17"/>
    </row>
    <row r="28" spans="1:54">
      <c r="A28" s="5"/>
      <c r="B28" s="31"/>
      <c r="C28" s="31"/>
      <c r="D28" s="31"/>
      <c r="E28" s="65" t="str">
        <f>IF(D28="","",IFERROR(VLOOKUP(D28,角色_种族_友方!B:C,2,FALSE),"ERROR"))</f>
        <v/>
      </c>
      <c r="F28" s="69"/>
      <c r="G28" s="70"/>
      <c r="H28" s="69"/>
      <c r="I28" s="70"/>
      <c r="J28" s="74"/>
      <c r="K28" s="74"/>
      <c r="L28" s="74"/>
      <c r="M28" s="81"/>
      <c r="N28" s="82"/>
      <c r="O28" s="79"/>
      <c r="P28" s="80"/>
      <c r="Q28" s="80"/>
      <c r="R28" s="80"/>
      <c r="S28" s="80"/>
      <c r="T28" s="80"/>
      <c r="U28" s="17"/>
      <c r="V28" s="17"/>
      <c r="W28" s="17"/>
      <c r="X28" s="17"/>
      <c r="Y28" s="17"/>
      <c r="Z28" s="17"/>
      <c r="AA28" s="17"/>
      <c r="AB28" s="22" t="str">
        <f>IF(Y28="","",IFERROR(VLOOKUP(Y28,角色_能力!B:C,2,FALSE),"ERROR"))</f>
        <v/>
      </c>
      <c r="AC28" s="22" t="str">
        <f>IF(Z28="","",IFERROR(VLOOKUP(Z28,角色_能力!B:C,2,FALSE),"ERROR"))</f>
        <v/>
      </c>
      <c r="AD28" s="17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7" t="str">
        <f>IF(AE28="","",IFERROR(VLOOKUP(AE28,角色_装备!B:C,2,FALSE),"ERROR"))</f>
        <v/>
      </c>
      <c r="AR28" s="17" t="str">
        <f>IF(AF28="","",IFERROR(VLOOKUP(AF28,角色_装备!B:C,2,FALSE),"ERROR"))</f>
        <v/>
      </c>
      <c r="AS28" s="17" t="str">
        <f>IF(AG28="","",IFERROR(VLOOKUP(AG28,角色_装备!B:C,2,FALSE),"ERROR"))</f>
        <v/>
      </c>
      <c r="AT28" s="17"/>
      <c r="AU28" s="17"/>
      <c r="AV28" s="17"/>
      <c r="AW28" s="17" t="str">
        <f>IF(AK28="","",IFERROR(VLOOKUP(AK28,角色_装备!B:C,2,FALSE),"ERROR"))</f>
        <v/>
      </c>
      <c r="AX28" s="17" t="str">
        <f>IF(AL28="","",IFERROR(VLOOKUP(AL28,角色_装备!B:C,2,FALSE),"ERROR"))</f>
        <v/>
      </c>
      <c r="AY28" s="17" t="str">
        <f>IF(AM28="","",IFERROR(VLOOKUP(AM28,角色_装备!B:C,2,FALSE),"ERROR"))</f>
        <v/>
      </c>
      <c r="AZ28" s="17"/>
      <c r="BA28" s="17"/>
      <c r="BB28" s="17"/>
    </row>
    <row r="29" spans="1:54">
      <c r="A29" s="5"/>
      <c r="B29" s="31"/>
      <c r="C29" s="31"/>
      <c r="D29" s="31"/>
      <c r="E29" s="65" t="str">
        <f>IF(D29="","",IFERROR(VLOOKUP(D29,角色_种族_友方!B:C,2,FALSE),"ERROR"))</f>
        <v/>
      </c>
      <c r="F29" s="69"/>
      <c r="G29" s="70"/>
      <c r="H29" s="69"/>
      <c r="I29" s="70"/>
      <c r="J29" s="74"/>
      <c r="K29" s="74"/>
      <c r="L29" s="74"/>
      <c r="M29" s="81"/>
      <c r="N29" s="82"/>
      <c r="O29" s="79"/>
      <c r="P29" s="80"/>
      <c r="Q29" s="80"/>
      <c r="R29" s="80"/>
      <c r="S29" s="80"/>
      <c r="T29" s="80"/>
      <c r="U29" s="17"/>
      <c r="V29" s="17"/>
      <c r="W29" s="17"/>
      <c r="X29" s="17"/>
      <c r="Y29" s="17"/>
      <c r="Z29" s="17"/>
      <c r="AA29" s="17"/>
      <c r="AB29" s="22" t="str">
        <f>IF(Y29="","",IFERROR(VLOOKUP(Y29,角色_能力!B:C,2,FALSE),"ERROR"))</f>
        <v/>
      </c>
      <c r="AC29" s="22" t="str">
        <f>IF(Z29="","",IFERROR(VLOOKUP(Z29,角色_能力!B:C,2,FALSE),"ERROR"))</f>
        <v/>
      </c>
      <c r="AD29" s="17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7" t="str">
        <f>IF(AE29="","",IFERROR(VLOOKUP(AE29,角色_装备!B:C,2,FALSE),"ERROR"))</f>
        <v/>
      </c>
      <c r="AR29" s="17" t="str">
        <f>IF(AF29="","",IFERROR(VLOOKUP(AF29,角色_装备!B:C,2,FALSE),"ERROR"))</f>
        <v/>
      </c>
      <c r="AS29" s="17" t="str">
        <f>IF(AG29="","",IFERROR(VLOOKUP(AG29,角色_装备!B:C,2,FALSE),"ERROR"))</f>
        <v/>
      </c>
      <c r="AT29" s="17"/>
      <c r="AU29" s="17"/>
      <c r="AV29" s="17"/>
      <c r="AW29" s="17" t="str">
        <f>IF(AK29="","",IFERROR(VLOOKUP(AK29,角色_装备!B:C,2,FALSE),"ERROR"))</f>
        <v/>
      </c>
      <c r="AX29" s="17" t="str">
        <f>IF(AL29="","",IFERROR(VLOOKUP(AL29,角色_装备!B:C,2,FALSE),"ERROR"))</f>
        <v/>
      </c>
      <c r="AY29" s="17" t="str">
        <f>IF(AM29="","",IFERROR(VLOOKUP(AM29,角色_装备!B:C,2,FALSE),"ERROR"))</f>
        <v/>
      </c>
      <c r="AZ29" s="17"/>
      <c r="BA29" s="17"/>
      <c r="BB29" s="17"/>
    </row>
    <row r="30" spans="1:54">
      <c r="A30" s="5"/>
      <c r="B30" s="31"/>
      <c r="C30" s="31"/>
      <c r="D30" s="31"/>
      <c r="E30" s="65" t="str">
        <f>IF(D30="","",IFERROR(VLOOKUP(D30,角色_种族_友方!B:C,2,FALSE),"ERROR"))</f>
        <v/>
      </c>
      <c r="F30" s="69"/>
      <c r="G30" s="70"/>
      <c r="H30" s="69"/>
      <c r="I30" s="70"/>
      <c r="J30" s="74"/>
      <c r="K30" s="74"/>
      <c r="L30" s="74"/>
      <c r="M30" s="81"/>
      <c r="N30" s="82"/>
      <c r="O30" s="79"/>
      <c r="P30" s="80"/>
      <c r="Q30" s="80"/>
      <c r="R30" s="80"/>
      <c r="S30" s="80"/>
      <c r="T30" s="80"/>
      <c r="U30" s="17"/>
      <c r="V30" s="17"/>
      <c r="W30" s="17"/>
      <c r="X30" s="17"/>
      <c r="Y30" s="17"/>
      <c r="Z30" s="17"/>
      <c r="AA30" s="17"/>
      <c r="AB30" s="22" t="str">
        <f>IF(Y30="","",IFERROR(VLOOKUP(Y30,角色_能力!B:C,2,FALSE),"ERROR"))</f>
        <v/>
      </c>
      <c r="AC30" s="22" t="str">
        <f>IF(Z30="","",IFERROR(VLOOKUP(Z30,角色_能力!B:C,2,FALSE),"ERROR"))</f>
        <v/>
      </c>
      <c r="AD30" s="17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7" t="str">
        <f>IF(AE30="","",IFERROR(VLOOKUP(AE30,角色_装备!B:C,2,FALSE),"ERROR"))</f>
        <v/>
      </c>
      <c r="AR30" s="17" t="str">
        <f>IF(AF30="","",IFERROR(VLOOKUP(AF30,角色_装备!B:C,2,FALSE),"ERROR"))</f>
        <v/>
      </c>
      <c r="AS30" s="17" t="str">
        <f>IF(AG30="","",IFERROR(VLOOKUP(AG30,角色_装备!B:C,2,FALSE),"ERROR"))</f>
        <v/>
      </c>
      <c r="AT30" s="17"/>
      <c r="AU30" s="17"/>
      <c r="AV30" s="17"/>
      <c r="AW30" s="17" t="str">
        <f>IF(AK30="","",IFERROR(VLOOKUP(AK30,角色_装备!B:C,2,FALSE),"ERROR"))</f>
        <v/>
      </c>
      <c r="AX30" s="17" t="str">
        <f>IF(AL30="","",IFERROR(VLOOKUP(AL30,角色_装备!B:C,2,FALSE),"ERROR"))</f>
        <v/>
      </c>
      <c r="AY30" s="17" t="str">
        <f>IF(AM30="","",IFERROR(VLOOKUP(AM30,角色_装备!B:C,2,FALSE),"ERROR"))</f>
        <v/>
      </c>
      <c r="AZ30" s="17"/>
      <c r="BA30" s="17"/>
      <c r="BB30" s="17"/>
    </row>
    <row r="31" spans="1:54">
      <c r="A31" s="5"/>
      <c r="B31" s="31"/>
      <c r="C31" s="31"/>
      <c r="D31" s="31"/>
      <c r="E31" s="65" t="str">
        <f>IF(D31="","",IFERROR(VLOOKUP(D31,角色_种族_友方!B:C,2,FALSE),"ERROR"))</f>
        <v/>
      </c>
      <c r="F31" s="69"/>
      <c r="G31" s="70"/>
      <c r="H31" s="69"/>
      <c r="I31" s="70"/>
      <c r="J31" s="74"/>
      <c r="K31" s="74"/>
      <c r="L31" s="74"/>
      <c r="M31" s="81"/>
      <c r="N31" s="82"/>
      <c r="O31" s="79"/>
      <c r="P31" s="80"/>
      <c r="Q31" s="80"/>
      <c r="R31" s="80"/>
      <c r="S31" s="80"/>
      <c r="T31" s="80"/>
      <c r="U31" s="17"/>
      <c r="V31" s="17"/>
      <c r="W31" s="17"/>
      <c r="X31" s="17"/>
      <c r="Y31" s="17"/>
      <c r="Z31" s="17"/>
      <c r="AA31" s="17"/>
      <c r="AB31" s="22" t="str">
        <f>IF(Y31="","",IFERROR(VLOOKUP(Y31,角色_能力!B:C,2,FALSE),"ERROR"))</f>
        <v/>
      </c>
      <c r="AC31" s="22" t="str">
        <f>IF(Z31="","",IFERROR(VLOOKUP(Z31,角色_能力!B:C,2,FALSE),"ERROR"))</f>
        <v/>
      </c>
      <c r="AD31" s="17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7" t="str">
        <f>IF(AE31="","",IFERROR(VLOOKUP(AE31,角色_装备!B:C,2,FALSE),"ERROR"))</f>
        <v/>
      </c>
      <c r="AR31" s="17" t="str">
        <f>IF(AF31="","",IFERROR(VLOOKUP(AF31,角色_装备!B:C,2,FALSE),"ERROR"))</f>
        <v/>
      </c>
      <c r="AS31" s="17" t="str">
        <f>IF(AG31="","",IFERROR(VLOOKUP(AG31,角色_装备!B:C,2,FALSE),"ERROR"))</f>
        <v/>
      </c>
      <c r="AT31" s="17"/>
      <c r="AU31" s="17"/>
      <c r="AV31" s="17"/>
      <c r="AW31" s="17" t="str">
        <f>IF(AK31="","",IFERROR(VLOOKUP(AK31,角色_装备!B:C,2,FALSE),"ERROR"))</f>
        <v/>
      </c>
      <c r="AX31" s="17" t="str">
        <f>IF(AL31="","",IFERROR(VLOOKUP(AL31,角色_装备!B:C,2,FALSE),"ERROR"))</f>
        <v/>
      </c>
      <c r="AY31" s="17" t="str">
        <f>IF(AM31="","",IFERROR(VLOOKUP(AM31,角色_装备!B:C,2,FALSE),"ERROR"))</f>
        <v/>
      </c>
      <c r="AZ31" s="17"/>
      <c r="BA31" s="17"/>
      <c r="BB31" s="17"/>
    </row>
    <row r="32" spans="1:54">
      <c r="A32" s="5"/>
      <c r="B32" s="31"/>
      <c r="C32" s="31"/>
      <c r="D32" s="31"/>
      <c r="E32" s="65" t="str">
        <f>IF(D32="","",IFERROR(VLOOKUP(D32,角色_种族_友方!B:C,2,FALSE),"ERROR"))</f>
        <v/>
      </c>
      <c r="F32" s="69"/>
      <c r="G32" s="70"/>
      <c r="H32" s="69"/>
      <c r="I32" s="70"/>
      <c r="J32" s="74"/>
      <c r="K32" s="74"/>
      <c r="L32" s="74"/>
      <c r="M32" s="81"/>
      <c r="N32" s="82"/>
      <c r="O32" s="79"/>
      <c r="P32" s="80"/>
      <c r="Q32" s="80"/>
      <c r="R32" s="80"/>
      <c r="S32" s="80"/>
      <c r="T32" s="80"/>
      <c r="U32" s="17"/>
      <c r="V32" s="17"/>
      <c r="W32" s="17"/>
      <c r="X32" s="17"/>
      <c r="Y32" s="17"/>
      <c r="Z32" s="17"/>
      <c r="AA32" s="17"/>
      <c r="AB32" s="22" t="str">
        <f>IF(Y32="","",IFERROR(VLOOKUP(Y32,角色_能力!B:C,2,FALSE),"ERROR"))</f>
        <v/>
      </c>
      <c r="AC32" s="22" t="str">
        <f>IF(Z32="","",IFERROR(VLOOKUP(Z32,角色_能力!B:C,2,FALSE),"ERROR"))</f>
        <v/>
      </c>
      <c r="AD32" s="17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7" t="str">
        <f>IF(AE32="","",IFERROR(VLOOKUP(AE32,角色_装备!B:C,2,FALSE),"ERROR"))</f>
        <v/>
      </c>
      <c r="AR32" s="17" t="str">
        <f>IF(AF32="","",IFERROR(VLOOKUP(AF32,角色_装备!B:C,2,FALSE),"ERROR"))</f>
        <v/>
      </c>
      <c r="AS32" s="17" t="str">
        <f>IF(AG32="","",IFERROR(VLOOKUP(AG32,角色_装备!B:C,2,FALSE),"ERROR"))</f>
        <v/>
      </c>
      <c r="AT32" s="17"/>
      <c r="AU32" s="17"/>
      <c r="AV32" s="17"/>
      <c r="AW32" s="17" t="str">
        <f>IF(AK32="","",IFERROR(VLOOKUP(AK32,角色_装备!B:C,2,FALSE),"ERROR"))</f>
        <v/>
      </c>
      <c r="AX32" s="17" t="str">
        <f>IF(AL32="","",IFERROR(VLOOKUP(AL32,角色_装备!B:C,2,FALSE),"ERROR"))</f>
        <v/>
      </c>
      <c r="AY32" s="17" t="str">
        <f>IF(AM32="","",IFERROR(VLOOKUP(AM32,角色_装备!B:C,2,FALSE),"ERROR"))</f>
        <v/>
      </c>
      <c r="AZ32" s="17"/>
      <c r="BA32" s="17"/>
      <c r="BB32" s="17"/>
    </row>
    <row r="33" spans="1:54">
      <c r="A33" s="5"/>
      <c r="B33" s="31"/>
      <c r="C33" s="31"/>
      <c r="D33" s="31"/>
      <c r="E33" s="65" t="str">
        <f>IF(D33="","",IFERROR(VLOOKUP(D33,角色_种族_友方!B:C,2,FALSE),"ERROR"))</f>
        <v/>
      </c>
      <c r="F33" s="69"/>
      <c r="G33" s="70"/>
      <c r="H33" s="69"/>
      <c r="I33" s="70"/>
      <c r="J33" s="74"/>
      <c r="K33" s="74"/>
      <c r="L33" s="74"/>
      <c r="M33" s="81"/>
      <c r="N33" s="82"/>
      <c r="O33" s="79"/>
      <c r="P33" s="80"/>
      <c r="Q33" s="80"/>
      <c r="R33" s="80"/>
      <c r="S33" s="80"/>
      <c r="T33" s="80"/>
      <c r="U33" s="17"/>
      <c r="V33" s="17"/>
      <c r="W33" s="17"/>
      <c r="X33" s="17"/>
      <c r="Y33" s="17"/>
      <c r="Z33" s="17"/>
      <c r="AA33" s="17"/>
      <c r="AB33" s="22" t="str">
        <f>IF(Y33="","",IFERROR(VLOOKUP(Y33,角色_能力!B:C,2,FALSE),"ERROR"))</f>
        <v/>
      </c>
      <c r="AC33" s="22" t="str">
        <f>IF(Z33="","",IFERROR(VLOOKUP(Z33,角色_能力!B:C,2,FALSE),"ERROR"))</f>
        <v/>
      </c>
      <c r="AD33" s="17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7" t="str">
        <f>IF(AE33="","",IFERROR(VLOOKUP(AE33,角色_装备!B:C,2,FALSE),"ERROR"))</f>
        <v/>
      </c>
      <c r="AR33" s="17" t="str">
        <f>IF(AF33="","",IFERROR(VLOOKUP(AF33,角色_装备!B:C,2,FALSE),"ERROR"))</f>
        <v/>
      </c>
      <c r="AS33" s="17" t="str">
        <f>IF(AG33="","",IFERROR(VLOOKUP(AG33,角色_装备!B:C,2,FALSE),"ERROR"))</f>
        <v/>
      </c>
      <c r="AT33" s="17"/>
      <c r="AU33" s="17"/>
      <c r="AV33" s="17"/>
      <c r="AW33" s="17" t="str">
        <f>IF(AK33="","",IFERROR(VLOOKUP(AK33,角色_装备!B:C,2,FALSE),"ERROR"))</f>
        <v/>
      </c>
      <c r="AX33" s="17" t="str">
        <f>IF(AL33="","",IFERROR(VLOOKUP(AL33,角色_装备!B:C,2,FALSE),"ERROR"))</f>
        <v/>
      </c>
      <c r="AY33" s="17" t="str">
        <f>IF(AM33="","",IFERROR(VLOOKUP(AM33,角色_装备!B:C,2,FALSE),"ERROR"))</f>
        <v/>
      </c>
      <c r="AZ33" s="17"/>
      <c r="BA33" s="17"/>
      <c r="BB33" s="17"/>
    </row>
    <row r="34" spans="1:54">
      <c r="A34" s="5"/>
      <c r="B34" s="31"/>
      <c r="C34" s="31"/>
      <c r="D34" s="31"/>
      <c r="E34" s="65" t="str">
        <f>IF(D34="","",IFERROR(VLOOKUP(D34,角色_种族_友方!B:C,2,FALSE),"ERROR"))</f>
        <v/>
      </c>
      <c r="F34" s="69"/>
      <c r="G34" s="70"/>
      <c r="H34" s="69"/>
      <c r="I34" s="70"/>
      <c r="J34" s="74"/>
      <c r="K34" s="74"/>
      <c r="L34" s="74"/>
      <c r="M34" s="81"/>
      <c r="N34" s="82"/>
      <c r="O34" s="79"/>
      <c r="P34" s="80"/>
      <c r="Q34" s="80"/>
      <c r="R34" s="80"/>
      <c r="S34" s="80"/>
      <c r="T34" s="80"/>
      <c r="U34" s="17"/>
      <c r="V34" s="17"/>
      <c r="W34" s="17"/>
      <c r="X34" s="17"/>
      <c r="Y34" s="17"/>
      <c r="Z34" s="17"/>
      <c r="AA34" s="17"/>
      <c r="AB34" s="22" t="str">
        <f>IF(Y34="","",IFERROR(VLOOKUP(Y34,角色_能力!B:C,2,FALSE),"ERROR"))</f>
        <v/>
      </c>
      <c r="AC34" s="22" t="str">
        <f>IF(Z34="","",IFERROR(VLOOKUP(Z34,角色_能力!B:C,2,FALSE),"ERROR"))</f>
        <v/>
      </c>
      <c r="AD34" s="17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7" t="str">
        <f>IF(AE34="","",IFERROR(VLOOKUP(AE34,角色_装备!B:C,2,FALSE),"ERROR"))</f>
        <v/>
      </c>
      <c r="AR34" s="17" t="str">
        <f>IF(AF34="","",IFERROR(VLOOKUP(AF34,角色_装备!B:C,2,FALSE),"ERROR"))</f>
        <v/>
      </c>
      <c r="AS34" s="17" t="str">
        <f>IF(AG34="","",IFERROR(VLOOKUP(AG34,角色_装备!B:C,2,FALSE),"ERROR"))</f>
        <v/>
      </c>
      <c r="AT34" s="17"/>
      <c r="AU34" s="17"/>
      <c r="AV34" s="17"/>
      <c r="AW34" s="17"/>
      <c r="AX34" s="17" t="str">
        <f>IF(AL34="","",IFERROR(VLOOKUP(AL34,角色_装备!B:C,2,FALSE),"ERROR"))</f>
        <v/>
      </c>
      <c r="AY34" s="17" t="str">
        <f>IF(AM34="","",IFERROR(VLOOKUP(AM34,角色_装备!B:C,2,FALSE),"ERROR"))</f>
        <v/>
      </c>
      <c r="AZ34" s="17"/>
      <c r="BA34" s="17"/>
      <c r="BB34" s="17"/>
    </row>
    <row r="35" spans="1:54">
      <c r="A35" s="5"/>
      <c r="B35" s="31"/>
      <c r="C35" s="31"/>
      <c r="D35" s="31"/>
      <c r="E35" s="65" t="str">
        <f>IF(D35="","",IFERROR(VLOOKUP(D35,角色_种族_友方!B:C,2,FALSE),"ERROR"))</f>
        <v/>
      </c>
      <c r="F35" s="69"/>
      <c r="G35" s="70"/>
      <c r="H35" s="69"/>
      <c r="I35" s="70"/>
      <c r="J35" s="74"/>
      <c r="K35" s="74"/>
      <c r="L35" s="74"/>
      <c r="M35" s="81"/>
      <c r="N35" s="82"/>
      <c r="O35" s="79"/>
      <c r="P35" s="80"/>
      <c r="Q35" s="80"/>
      <c r="R35" s="80"/>
      <c r="S35" s="80"/>
      <c r="T35" s="80"/>
      <c r="U35" s="17"/>
      <c r="V35" s="17"/>
      <c r="W35" s="17"/>
      <c r="X35" s="17"/>
      <c r="Y35" s="17"/>
      <c r="Z35" s="17"/>
      <c r="AA35" s="17"/>
      <c r="AB35" s="22" t="str">
        <f>IF(Y35="","",IFERROR(VLOOKUP(Y35,角色_能力!B:C,2,FALSE),"ERROR"))</f>
        <v/>
      </c>
      <c r="AC35" s="22" t="str">
        <f>IF(Z35="","",IFERROR(VLOOKUP(Z35,角色_能力!B:C,2,FALSE),"ERROR"))</f>
        <v/>
      </c>
      <c r="AD35" s="17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7" t="str">
        <f>IF(AE35="","",IFERROR(VLOOKUP(AE35,角色_装备!B:C,2,FALSE),"ERROR"))</f>
        <v/>
      </c>
      <c r="AR35" s="17" t="str">
        <f>IF(AF35="","",IFERROR(VLOOKUP(AF35,角色_装备!B:C,2,FALSE),"ERROR"))</f>
        <v/>
      </c>
      <c r="AS35" s="17" t="str">
        <f>IF(AG35="","",IFERROR(VLOOKUP(AG35,角色_装备!B:C,2,FALSE),"ERROR"))</f>
        <v/>
      </c>
      <c r="AT35" s="17"/>
      <c r="AU35" s="17"/>
      <c r="AV35" s="17"/>
      <c r="AW35" s="17"/>
      <c r="AX35" s="17" t="str">
        <f>IF(AL35="","",IFERROR(VLOOKUP(AL35,角色_装备!B:C,2,FALSE),"ERROR"))</f>
        <v/>
      </c>
      <c r="AY35" s="17" t="str">
        <f>IF(AM35="","",IFERROR(VLOOKUP(AM35,角色_装备!B:C,2,FALSE),"ERROR"))</f>
        <v/>
      </c>
      <c r="AZ35" s="17"/>
      <c r="BA35" s="17"/>
      <c r="BB35" s="17"/>
    </row>
    <row r="36" spans="1:54">
      <c r="A36" s="5"/>
      <c r="B36" s="31"/>
      <c r="C36" s="31"/>
      <c r="D36" s="31"/>
      <c r="E36" s="65" t="str">
        <f>IF(D36="","",IFERROR(VLOOKUP(D36,角色_种族_友方!B:C,2,FALSE),"ERROR"))</f>
        <v/>
      </c>
      <c r="F36" s="69"/>
      <c r="G36" s="70"/>
      <c r="H36" s="69"/>
      <c r="I36" s="70"/>
      <c r="J36" s="74"/>
      <c r="K36" s="74"/>
      <c r="L36" s="74"/>
      <c r="M36" s="81"/>
      <c r="N36" s="82"/>
      <c r="O36" s="79"/>
      <c r="P36" s="80"/>
      <c r="Q36" s="80"/>
      <c r="R36" s="80"/>
      <c r="S36" s="80"/>
      <c r="T36" s="80"/>
      <c r="U36" s="17"/>
      <c r="V36" s="17"/>
      <c r="W36" s="17"/>
      <c r="X36" s="17"/>
      <c r="Y36" s="17"/>
      <c r="Z36" s="17"/>
      <c r="AA36" s="17"/>
      <c r="AB36" s="22" t="str">
        <f>IF(Y36="","",IFERROR(VLOOKUP(Y36,角色_能力!B:C,2,FALSE),"ERROR"))</f>
        <v/>
      </c>
      <c r="AC36" s="22" t="str">
        <f>IF(Z36="","",IFERROR(VLOOKUP(Z36,角色_能力!B:C,2,FALSE),"ERROR"))</f>
        <v/>
      </c>
      <c r="AD36" s="17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7" t="str">
        <f>IF(AE36="","",IFERROR(VLOOKUP(AE36,角色_装备!B:C,2,FALSE),"ERROR"))</f>
        <v/>
      </c>
      <c r="AR36" s="17" t="str">
        <f>IF(AF36="","",IFERROR(VLOOKUP(AF36,角色_装备!B:C,2,FALSE),"ERROR"))</f>
        <v/>
      </c>
      <c r="AS36" s="17" t="str">
        <f>IF(AG36="","",IFERROR(VLOOKUP(AG36,角色_装备!B:C,2,FALSE),"ERROR"))</f>
        <v/>
      </c>
      <c r="AT36" s="17"/>
      <c r="AU36" s="17"/>
      <c r="AV36" s="17"/>
      <c r="AW36" s="17"/>
      <c r="AX36" s="17" t="str">
        <f>IF(AL36="","",IFERROR(VLOOKUP(AL36,角色_装备!B:C,2,FALSE),"ERROR"))</f>
        <v/>
      </c>
      <c r="AY36" s="17" t="str">
        <f>IF(AM36="","",IFERROR(VLOOKUP(AM36,角色_装备!B:C,2,FALSE),"ERROR"))</f>
        <v/>
      </c>
      <c r="AZ36" s="17"/>
      <c r="BA36" s="17"/>
      <c r="BB36" s="17"/>
    </row>
    <row r="37" spans="1:54">
      <c r="A37" s="5"/>
      <c r="B37" s="31"/>
      <c r="C37" s="31"/>
      <c r="D37" s="31"/>
      <c r="E37" s="65" t="str">
        <f>IF(D37="","",IFERROR(VLOOKUP(D37,角色_种族_友方!B:C,2,FALSE),"ERROR"))</f>
        <v/>
      </c>
      <c r="F37" s="69"/>
      <c r="G37" s="70"/>
      <c r="H37" s="69"/>
      <c r="I37" s="70"/>
      <c r="J37" s="74"/>
      <c r="K37" s="74"/>
      <c r="L37" s="74"/>
      <c r="M37" s="81"/>
      <c r="N37" s="82"/>
      <c r="O37" s="79"/>
      <c r="P37" s="80"/>
      <c r="Q37" s="80"/>
      <c r="R37" s="80"/>
      <c r="S37" s="80"/>
      <c r="T37" s="80"/>
      <c r="U37" s="17"/>
      <c r="V37" s="17"/>
      <c r="W37" s="17"/>
      <c r="X37" s="17"/>
      <c r="Y37" s="17"/>
      <c r="Z37" s="17"/>
      <c r="AA37" s="17"/>
      <c r="AB37" s="22" t="str">
        <f>IF(Y37="","",IFERROR(VLOOKUP(Y37,角色_能力!B:C,2,FALSE),"ERROR"))</f>
        <v/>
      </c>
      <c r="AC37" s="22" t="str">
        <f>IF(Z37="","",IFERROR(VLOOKUP(Z37,角色_能力!B:C,2,FALSE),"ERROR"))</f>
        <v/>
      </c>
      <c r="AD37" s="17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7" t="str">
        <f>IF(AE37="","",IFERROR(VLOOKUP(AE37,角色_装备!B:C,2,FALSE),"ERROR"))</f>
        <v/>
      </c>
      <c r="AR37" s="17" t="str">
        <f>IF(AF37="","",IFERROR(VLOOKUP(AF37,角色_装备!B:C,2,FALSE),"ERROR"))</f>
        <v/>
      </c>
      <c r="AS37" s="17" t="str">
        <f>IF(AG37="","",IFERROR(VLOOKUP(AG37,角色_装备!B:C,2,FALSE),"ERROR"))</f>
        <v/>
      </c>
      <c r="AT37" s="17"/>
      <c r="AU37" s="17"/>
      <c r="AV37" s="17"/>
      <c r="AW37" s="17"/>
      <c r="AX37" s="17" t="str">
        <f>IF(AL37="","",IFERROR(VLOOKUP(AL37,角色_装备!B:C,2,FALSE),"ERROR"))</f>
        <v/>
      </c>
      <c r="AY37" s="17" t="str">
        <f>IF(AM37="","",IFERROR(VLOOKUP(AM37,角色_装备!B:C,2,FALSE),"ERROR"))</f>
        <v/>
      </c>
      <c r="AZ37" s="17"/>
      <c r="BA37" s="17"/>
      <c r="BB37" s="17"/>
    </row>
    <row r="38" spans="1:54">
      <c r="A38" s="5"/>
      <c r="B38" s="31"/>
      <c r="C38" s="31"/>
      <c r="D38" s="31"/>
      <c r="E38" s="65" t="str">
        <f>IF(D38="","",IFERROR(VLOOKUP(D38,角色_种族_友方!B:C,2,FALSE),"ERROR"))</f>
        <v/>
      </c>
      <c r="F38" s="69"/>
      <c r="G38" s="70"/>
      <c r="H38" s="69"/>
      <c r="I38" s="70"/>
      <c r="J38" s="74"/>
      <c r="K38" s="74"/>
      <c r="L38" s="74"/>
      <c r="M38" s="81"/>
      <c r="N38" s="82"/>
      <c r="O38" s="79"/>
      <c r="P38" s="80"/>
      <c r="Q38" s="80"/>
      <c r="R38" s="80"/>
      <c r="S38" s="80"/>
      <c r="T38" s="80"/>
      <c r="U38" s="17"/>
      <c r="V38" s="17"/>
      <c r="W38" s="17"/>
      <c r="X38" s="17"/>
      <c r="Y38" s="17"/>
      <c r="Z38" s="17"/>
      <c r="AA38" s="17"/>
      <c r="AB38" s="22" t="str">
        <f>IF(Y38="","",IFERROR(VLOOKUP(Y38,角色_能力!B:C,2,FALSE),"ERROR"))</f>
        <v/>
      </c>
      <c r="AC38" s="22" t="str">
        <f>IF(Z38="","",IFERROR(VLOOKUP(Z38,角色_能力!B:C,2,FALSE),"ERROR"))</f>
        <v/>
      </c>
      <c r="AD38" s="17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7" t="str">
        <f>IF(AE38="","",IFERROR(VLOOKUP(AE38,角色_装备!B:C,2,FALSE),"ERROR"))</f>
        <v/>
      </c>
      <c r="AR38" s="17" t="str">
        <f>IF(AF38="","",IFERROR(VLOOKUP(AF38,角色_装备!B:C,2,FALSE),"ERROR"))</f>
        <v/>
      </c>
      <c r="AS38" s="17" t="str">
        <f>IF(AG38="","",IFERROR(VLOOKUP(AG38,角色_装备!B:C,2,FALSE),"ERROR"))</f>
        <v/>
      </c>
      <c r="AT38" s="17"/>
      <c r="AU38" s="17"/>
      <c r="AV38" s="17"/>
      <c r="AW38" s="17"/>
      <c r="AX38" s="17" t="str">
        <f>IF(AL38="","",IFERROR(VLOOKUP(AL38,角色_装备!B:C,2,FALSE),"ERROR"))</f>
        <v/>
      </c>
      <c r="AY38" s="17" t="str">
        <f>IF(AM38="","",IFERROR(VLOOKUP(AM38,角色_装备!B:C,2,FALSE),"ERROR"))</f>
        <v/>
      </c>
      <c r="AZ38" s="17"/>
      <c r="BA38" s="17"/>
      <c r="BB38" s="17"/>
    </row>
    <row r="39" spans="1:54">
      <c r="A39" s="5"/>
      <c r="B39" s="31"/>
      <c r="C39" s="31"/>
      <c r="D39" s="31"/>
      <c r="E39" s="65" t="str">
        <f>IF(D39="","",IFERROR(VLOOKUP(D39,角色_种族_友方!B:C,2,FALSE),"ERROR"))</f>
        <v/>
      </c>
      <c r="F39" s="69"/>
      <c r="G39" s="70"/>
      <c r="H39" s="69"/>
      <c r="I39" s="70"/>
      <c r="J39" s="74"/>
      <c r="K39" s="74"/>
      <c r="L39" s="74"/>
      <c r="M39" s="81"/>
      <c r="N39" s="82"/>
      <c r="O39" s="79"/>
      <c r="P39" s="80"/>
      <c r="Q39" s="80"/>
      <c r="R39" s="80"/>
      <c r="S39" s="80"/>
      <c r="T39" s="80"/>
      <c r="U39" s="17"/>
      <c r="V39" s="17"/>
      <c r="W39" s="17"/>
      <c r="X39" s="17"/>
      <c r="Y39" s="17"/>
      <c r="Z39" s="17"/>
      <c r="AA39" s="17"/>
      <c r="AB39" s="22" t="str">
        <f>IF(Y39="","",IFERROR(VLOOKUP(Y39,角色_能力!B:C,2,FALSE),"ERROR"))</f>
        <v/>
      </c>
      <c r="AC39" s="22" t="str">
        <f>IF(Z39="","",IFERROR(VLOOKUP(Z39,角色_能力!B:C,2,FALSE),"ERROR"))</f>
        <v/>
      </c>
      <c r="AD39" s="17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7" t="str">
        <f>IF(AE39="","",IFERROR(VLOOKUP(AE39,角色_装备!B:C,2,FALSE),"ERROR"))</f>
        <v/>
      </c>
      <c r="AR39" s="17" t="str">
        <f>IF(AF39="","",IFERROR(VLOOKUP(AF39,角色_装备!B:C,2,FALSE),"ERROR"))</f>
        <v/>
      </c>
      <c r="AS39" s="17" t="str">
        <f>IF(AG39="","",IFERROR(VLOOKUP(AG39,角色_装备!B:C,2,FALSE),"ERROR"))</f>
        <v/>
      </c>
      <c r="AT39" s="17"/>
      <c r="AU39" s="17"/>
      <c r="AV39" s="17"/>
      <c r="AW39" s="17"/>
      <c r="AX39" s="17"/>
      <c r="AY39" s="17" t="str">
        <f>IF(AM39="","",IFERROR(VLOOKUP(AM39,角色_装备!B:C,2,FALSE),"ERROR"))</f>
        <v/>
      </c>
      <c r="AZ39" s="17"/>
      <c r="BA39" s="17"/>
      <c r="BB39" s="17"/>
    </row>
    <row r="40" spans="1:54">
      <c r="A40" s="5"/>
      <c r="B40" s="31"/>
      <c r="C40" s="31"/>
      <c r="D40" s="31"/>
      <c r="E40" s="65" t="str">
        <f>IF(D40="","",IFERROR(VLOOKUP(D40,角色_种族_友方!B:C,2,FALSE),"ERROR"))</f>
        <v/>
      </c>
      <c r="F40" s="69"/>
      <c r="G40" s="70"/>
      <c r="H40" s="69"/>
      <c r="I40" s="70"/>
      <c r="J40" s="74"/>
      <c r="K40" s="74"/>
      <c r="L40" s="74"/>
      <c r="M40" s="81"/>
      <c r="N40" s="82"/>
      <c r="O40" s="79"/>
      <c r="P40" s="80"/>
      <c r="Q40" s="80"/>
      <c r="R40" s="80"/>
      <c r="S40" s="80"/>
      <c r="T40" s="80"/>
      <c r="U40" s="17"/>
      <c r="V40" s="17"/>
      <c r="W40" s="17"/>
      <c r="X40" s="17"/>
      <c r="Y40" s="17"/>
      <c r="Z40" s="17"/>
      <c r="AA40" s="17"/>
      <c r="AB40" s="22" t="str">
        <f>IF(Y40="","",IFERROR(VLOOKUP(Y40,角色_能力!B:C,2,FALSE),"ERROR"))</f>
        <v/>
      </c>
      <c r="AC40" s="22" t="str">
        <f>IF(Z40="","",IFERROR(VLOOKUP(Z40,角色_能力!B:C,2,FALSE),"ERROR"))</f>
        <v/>
      </c>
      <c r="AD40" s="17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7" t="str">
        <f>IF(AE40="","",IFERROR(VLOOKUP(AE40,角色_装备!B:C,2,FALSE),"ERROR"))</f>
        <v/>
      </c>
      <c r="AR40" s="17" t="str">
        <f>IF(AF40="","",IFERROR(VLOOKUP(AF40,角色_装备!B:C,2,FALSE),"ERROR"))</f>
        <v/>
      </c>
      <c r="AS40" s="17" t="str">
        <f>IF(AG40="","",IFERROR(VLOOKUP(AG40,角色_装备!B:C,2,FALSE),"ERROR"))</f>
        <v/>
      </c>
      <c r="AT40" s="17"/>
      <c r="AU40" s="17"/>
      <c r="AV40" s="17"/>
      <c r="AW40" s="17"/>
      <c r="AX40" s="17"/>
      <c r="AY40" s="17" t="str">
        <f>IF(AM40="","",IFERROR(VLOOKUP(AM40,角色_装备!B:C,2,FALSE),"ERROR"))</f>
        <v/>
      </c>
      <c r="AZ40" s="17"/>
      <c r="BA40" s="17"/>
      <c r="BB40" s="17"/>
    </row>
    <row r="41" spans="1:54">
      <c r="A41" s="5"/>
      <c r="B41" s="31"/>
      <c r="C41" s="31"/>
      <c r="D41" s="31"/>
      <c r="E41" s="65" t="str">
        <f>IF(D41="","",IFERROR(VLOOKUP(D41,角色_种族_友方!B:C,2,FALSE),"ERROR"))</f>
        <v/>
      </c>
      <c r="F41" s="69"/>
      <c r="G41" s="70"/>
      <c r="H41" s="69"/>
      <c r="I41" s="70"/>
      <c r="J41" s="74"/>
      <c r="K41" s="74"/>
      <c r="L41" s="74"/>
      <c r="M41" s="81"/>
      <c r="N41" s="82"/>
      <c r="O41" s="79"/>
      <c r="P41" s="80"/>
      <c r="Q41" s="80"/>
      <c r="R41" s="80"/>
      <c r="S41" s="80"/>
      <c r="T41" s="80"/>
      <c r="U41" s="17"/>
      <c r="V41" s="17"/>
      <c r="W41" s="17"/>
      <c r="X41" s="17"/>
      <c r="Y41" s="17"/>
      <c r="Z41" s="17"/>
      <c r="AA41" s="17"/>
      <c r="AB41" s="22" t="str">
        <f>IF(Y41="","",IFERROR(VLOOKUP(Y41,角色_能力!B:C,2,FALSE),"ERROR"))</f>
        <v/>
      </c>
      <c r="AC41" s="22" t="str">
        <f>IF(Z41="","",IFERROR(VLOOKUP(Z41,角色_能力!B:C,2,FALSE),"ERROR"))</f>
        <v/>
      </c>
      <c r="AD41" s="17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 t="str">
        <f>IF(AE41="","",IFERROR(VLOOKUP(AE41,角色_装备!B:C,2,FALSE),"ERROR"))</f>
        <v/>
      </c>
      <c r="AR41" s="17" t="str">
        <f>IF(AF41="","",IFERROR(VLOOKUP(AF41,角色_装备!B:C,2,FALSE),"ERROR"))</f>
        <v/>
      </c>
      <c r="AS41" s="17" t="str">
        <f>IF(AG41="","",IFERROR(VLOOKUP(AG41,角色_装备!B:C,2,FALSE),"ERROR"))</f>
        <v/>
      </c>
      <c r="AT41" s="17"/>
      <c r="AU41" s="17"/>
      <c r="AV41" s="17"/>
      <c r="AW41" s="17"/>
      <c r="AX41" s="17"/>
      <c r="AY41" s="17"/>
      <c r="AZ41" s="17"/>
      <c r="BA41" s="17"/>
      <c r="BB41" s="17"/>
    </row>
    <row r="42" spans="1:54">
      <c r="A42" s="5"/>
      <c r="B42" s="31"/>
      <c r="C42" s="31"/>
      <c r="D42" s="31"/>
      <c r="E42" s="65" t="str">
        <f>IF(D42="","",IFERROR(VLOOKUP(D42,角色_种族_友方!B:C,2,FALSE),"ERROR"))</f>
        <v/>
      </c>
      <c r="F42" s="69"/>
      <c r="G42" s="70"/>
      <c r="H42" s="69"/>
      <c r="I42" s="70"/>
      <c r="J42" s="74"/>
      <c r="K42" s="74"/>
      <c r="L42" s="74"/>
      <c r="M42" s="81"/>
      <c r="N42" s="82"/>
      <c r="O42" s="79"/>
      <c r="P42" s="80"/>
      <c r="Q42" s="80"/>
      <c r="R42" s="80"/>
      <c r="S42" s="80"/>
      <c r="T42" s="80"/>
      <c r="U42" s="17"/>
      <c r="V42" s="17"/>
      <c r="W42" s="17"/>
      <c r="X42" s="17"/>
      <c r="Y42" s="17"/>
      <c r="Z42" s="17"/>
      <c r="AA42" s="17"/>
      <c r="AB42" s="22" t="str">
        <f>IF(Y42="","",IFERROR(VLOOKUP(Y42,角色_能力!B:C,2,FALSE),"ERROR"))</f>
        <v/>
      </c>
      <c r="AC42" s="22" t="str">
        <f>IF(Z42="","",IFERROR(VLOOKUP(Z42,角色_能力!B:C,2,FALSE),"ERROR"))</f>
        <v/>
      </c>
      <c r="AD42" s="17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7" t="str">
        <f>IF(AE42="","",IFERROR(VLOOKUP(AE42,角色_装备!B:C,2,FALSE),"ERROR"))</f>
        <v/>
      </c>
      <c r="AR42" s="17" t="str">
        <f>IF(AF42="","",IFERROR(VLOOKUP(AF42,角色_装备!B:C,2,FALSE),"ERROR"))</f>
        <v/>
      </c>
      <c r="AS42" s="17" t="str">
        <f>IF(AG42="","",IFERROR(VLOOKUP(AG42,角色_装备!B:C,2,FALSE),"ERROR"))</f>
        <v/>
      </c>
      <c r="AT42" s="17"/>
      <c r="AU42" s="17"/>
      <c r="AV42" s="17"/>
      <c r="AW42" s="17"/>
      <c r="AX42" s="17"/>
      <c r="AY42" s="17"/>
      <c r="AZ42" s="17"/>
      <c r="BA42" s="17"/>
      <c r="BB42" s="17"/>
    </row>
    <row r="43" spans="1:54">
      <c r="A43" s="5"/>
      <c r="B43" s="31"/>
      <c r="C43" s="31"/>
      <c r="D43" s="31"/>
      <c r="E43" s="65" t="str">
        <f>IF(D43="","",IFERROR(VLOOKUP(D43,角色_种族_友方!B:C,2,FALSE),"ERROR"))</f>
        <v/>
      </c>
      <c r="F43" s="69"/>
      <c r="G43" s="70"/>
      <c r="H43" s="69"/>
      <c r="I43" s="70"/>
      <c r="J43" s="74"/>
      <c r="K43" s="74"/>
      <c r="L43" s="74"/>
      <c r="M43" s="81"/>
      <c r="N43" s="82"/>
      <c r="O43" s="79"/>
      <c r="P43" s="80"/>
      <c r="Q43" s="80"/>
      <c r="R43" s="80"/>
      <c r="S43" s="80"/>
      <c r="T43" s="80"/>
      <c r="U43" s="17"/>
      <c r="V43" s="17"/>
      <c r="W43" s="17"/>
      <c r="X43" s="17"/>
      <c r="Y43" s="17"/>
      <c r="Z43" s="17"/>
      <c r="AA43" s="17"/>
      <c r="AB43" s="22" t="str">
        <f>IF(Y43="","",IFERROR(VLOOKUP(Y43,角色_能力!B:C,2,FALSE),"ERROR"))</f>
        <v/>
      </c>
      <c r="AC43" s="22" t="str">
        <f>IF(Z43="","",IFERROR(VLOOKUP(Z43,角色_能力!B:C,2,FALSE),"ERROR"))</f>
        <v/>
      </c>
      <c r="AD43" s="17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7" t="str">
        <f>IF(AE43="","",IFERROR(VLOOKUP(AE43,角色_装备!B:C,2,FALSE),"ERROR"))</f>
        <v/>
      </c>
      <c r="AR43" s="17" t="str">
        <f>IF(AF43="","",IFERROR(VLOOKUP(AF43,角色_装备!B:C,2,FALSE),"ERROR"))</f>
        <v/>
      </c>
      <c r="AS43" s="17" t="str">
        <f>IF(AG43="","",IFERROR(VLOOKUP(AG43,角色_装备!B:C,2,FALSE),"ERROR"))</f>
        <v/>
      </c>
      <c r="AT43" s="17"/>
      <c r="AU43" s="17"/>
      <c r="AV43" s="17"/>
      <c r="AW43" s="17"/>
      <c r="AX43" s="17"/>
      <c r="AY43" s="17"/>
      <c r="AZ43" s="17"/>
      <c r="BA43" s="17"/>
      <c r="BB43" s="17"/>
    </row>
    <row r="44" spans="1:54">
      <c r="A44" s="5"/>
      <c r="B44" s="31"/>
      <c r="C44" s="31"/>
      <c r="D44" s="31"/>
      <c r="E44" s="65" t="str">
        <f>IF(D44="","",IFERROR(VLOOKUP(D44,角色_种族_友方!B:C,2,FALSE),"ERROR"))</f>
        <v/>
      </c>
      <c r="F44" s="69"/>
      <c r="G44" s="70"/>
      <c r="H44" s="69"/>
      <c r="I44" s="70"/>
      <c r="J44" s="74"/>
      <c r="K44" s="74"/>
      <c r="L44" s="74"/>
      <c r="M44" s="81"/>
      <c r="N44" s="82"/>
      <c r="O44" s="79"/>
      <c r="P44" s="80"/>
      <c r="Q44" s="80"/>
      <c r="R44" s="80"/>
      <c r="S44" s="80"/>
      <c r="T44" s="80"/>
      <c r="U44" s="17"/>
      <c r="V44" s="17"/>
      <c r="W44" s="17"/>
      <c r="X44" s="17"/>
      <c r="Y44" s="17"/>
      <c r="Z44" s="17"/>
      <c r="AA44" s="17"/>
      <c r="AB44" s="22" t="str">
        <f>IF(Y44="","",IFERROR(VLOOKUP(Y44,角色_能力!B:C,2,FALSE),"ERROR"))</f>
        <v/>
      </c>
      <c r="AC44" s="22" t="str">
        <f>IF(Z44="","",IFERROR(VLOOKUP(Z44,角色_能力!B:C,2,FALSE),"ERROR"))</f>
        <v/>
      </c>
      <c r="AD44" s="17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7" t="str">
        <f>IF(AE44="","",IFERROR(VLOOKUP(AE44,角色_装备!B:C,2,FALSE),"ERROR"))</f>
        <v/>
      </c>
      <c r="AR44" s="17" t="str">
        <f>IF(AF44="","",IFERROR(VLOOKUP(AF44,角色_装备!B:C,2,FALSE),"ERROR"))</f>
        <v/>
      </c>
      <c r="AS44" s="17" t="str">
        <f>IF(AG44="","",IFERROR(VLOOKUP(AG44,角色_装备!B:C,2,FALSE),"ERROR"))</f>
        <v/>
      </c>
      <c r="AT44" s="17"/>
      <c r="AU44" s="17"/>
      <c r="AV44" s="17"/>
      <c r="AW44" s="17"/>
      <c r="AX44" s="17"/>
      <c r="AY44" s="17"/>
      <c r="AZ44" s="17"/>
      <c r="BA44" s="17"/>
      <c r="BB44" s="17"/>
    </row>
    <row r="45" spans="1:54">
      <c r="A45" s="5"/>
      <c r="B45" s="31"/>
      <c r="C45" s="31"/>
      <c r="D45" s="31"/>
      <c r="E45" s="65" t="str">
        <f>IF(D45="","",IFERROR(VLOOKUP(D45,角色_种族_友方!B:C,2,FALSE),"ERROR"))</f>
        <v/>
      </c>
      <c r="F45" s="69"/>
      <c r="G45" s="70"/>
      <c r="H45" s="69"/>
      <c r="I45" s="70"/>
      <c r="J45" s="74"/>
      <c r="K45" s="74"/>
      <c r="L45" s="74"/>
      <c r="M45" s="81"/>
      <c r="N45" s="82"/>
      <c r="O45" s="79"/>
      <c r="P45" s="80"/>
      <c r="Q45" s="80"/>
      <c r="R45" s="80"/>
      <c r="S45" s="80"/>
      <c r="T45" s="80"/>
      <c r="U45" s="17"/>
      <c r="V45" s="17"/>
      <c r="W45" s="17"/>
      <c r="X45" s="17"/>
      <c r="Y45" s="17"/>
      <c r="Z45" s="17"/>
      <c r="AA45" s="17"/>
      <c r="AB45" s="22" t="str">
        <f>IF(Y45="","",IFERROR(VLOOKUP(Y45,角色_能力!B:C,2,FALSE),"ERROR"))</f>
        <v/>
      </c>
      <c r="AC45" s="22" t="str">
        <f>IF(Z45="","",IFERROR(VLOOKUP(Z45,角色_能力!B:C,2,FALSE),"ERROR"))</f>
        <v/>
      </c>
      <c r="AD45" s="17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 t="str">
        <f>IF(AE45="","",IFERROR(VLOOKUP(AE45,角色_装备!B:C,2,FALSE),"ERROR"))</f>
        <v/>
      </c>
      <c r="AR45" s="17" t="str">
        <f>IF(AF45="","",IFERROR(VLOOKUP(AF45,角色_装备!B:C,2,FALSE),"ERROR"))</f>
        <v/>
      </c>
      <c r="AS45" s="17" t="str">
        <f>IF(AG45="","",IFERROR(VLOOKUP(AG45,角色_装备!B:C,2,FALSE),"ERROR"))</f>
        <v/>
      </c>
      <c r="AT45" s="17"/>
      <c r="AU45" s="17"/>
      <c r="AV45" s="17"/>
      <c r="AW45" s="17"/>
      <c r="AX45" s="17"/>
      <c r="AY45" s="17"/>
      <c r="AZ45" s="17"/>
      <c r="BA45" s="17"/>
      <c r="BB45" s="17"/>
    </row>
    <row r="46" spans="1:54">
      <c r="A46" s="5"/>
      <c r="B46" s="31"/>
      <c r="C46" s="31"/>
      <c r="D46" s="31"/>
      <c r="E46" s="65" t="str">
        <f>IF(D46="","",IFERROR(VLOOKUP(D46,角色_种族_友方!B:C,2,FALSE),"ERROR"))</f>
        <v/>
      </c>
      <c r="F46" s="69"/>
      <c r="G46" s="70"/>
      <c r="H46" s="69"/>
      <c r="I46" s="70"/>
      <c r="J46" s="74"/>
      <c r="K46" s="74"/>
      <c r="L46" s="74"/>
      <c r="M46" s="81"/>
      <c r="N46" s="82"/>
      <c r="O46" s="79"/>
      <c r="P46" s="80"/>
      <c r="Q46" s="80"/>
      <c r="R46" s="80"/>
      <c r="S46" s="80"/>
      <c r="T46" s="80"/>
      <c r="U46" s="17"/>
      <c r="V46" s="17"/>
      <c r="W46" s="17"/>
      <c r="X46" s="17"/>
      <c r="Y46" s="17"/>
      <c r="Z46" s="17"/>
      <c r="AA46" s="17"/>
      <c r="AB46" s="22" t="str">
        <f>IF(Y46="","",IFERROR(VLOOKUP(Y46,角色_能力!B:C,2,FALSE),"ERROR"))</f>
        <v/>
      </c>
      <c r="AC46" s="22" t="str">
        <f>IF(Z46="","",IFERROR(VLOOKUP(Z46,角色_能力!B:C,2,FALSE),"ERROR"))</f>
        <v/>
      </c>
      <c r="AD46" s="17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7" t="str">
        <f>IF(AE46="","",IFERROR(VLOOKUP(AE46,角色_装备!B:C,2,FALSE),"ERROR"))</f>
        <v/>
      </c>
      <c r="AR46" s="17" t="str">
        <f>IF(AF46="","",IFERROR(VLOOKUP(AF46,角色_装备!B:C,2,FALSE),"ERROR"))</f>
        <v/>
      </c>
      <c r="AS46" s="17" t="str">
        <f>IF(AG46="","",IFERROR(VLOOKUP(AG46,角色_装备!B:C,2,FALSE),"ERROR"))</f>
        <v/>
      </c>
      <c r="AT46" s="17"/>
      <c r="AU46" s="17"/>
      <c r="AV46" s="17"/>
      <c r="AW46" s="17"/>
      <c r="AX46" s="17"/>
      <c r="AY46" s="17"/>
      <c r="AZ46" s="17"/>
      <c r="BA46" s="17"/>
      <c r="BB46" s="17"/>
    </row>
    <row r="47" spans="1:54">
      <c r="A47" s="5"/>
      <c r="B47" s="31"/>
      <c r="C47" s="31"/>
      <c r="D47" s="31"/>
      <c r="E47" s="65" t="str">
        <f>IF(D47="","",IFERROR(VLOOKUP(D47,角色_种族_友方!B:C,2,FALSE),"ERROR"))</f>
        <v/>
      </c>
      <c r="F47" s="69"/>
      <c r="G47" s="70"/>
      <c r="H47" s="74"/>
      <c r="I47" s="70"/>
      <c r="J47" s="74"/>
      <c r="K47" s="74"/>
      <c r="L47" s="74"/>
      <c r="M47" s="81"/>
      <c r="N47" s="82"/>
      <c r="O47" s="79"/>
      <c r="P47" s="80"/>
      <c r="Q47" s="80"/>
      <c r="R47" s="80"/>
      <c r="S47" s="80"/>
      <c r="T47" s="80"/>
      <c r="U47" s="17"/>
      <c r="V47" s="17"/>
      <c r="W47" s="17"/>
      <c r="X47" s="17"/>
      <c r="Y47" s="17"/>
      <c r="Z47" s="17"/>
      <c r="AA47" s="17"/>
      <c r="AB47" s="22" t="str">
        <f>IF(Y47="","",IFERROR(VLOOKUP(Y47,角色_能力!B:C,2,FALSE),"ERROR"))</f>
        <v/>
      </c>
      <c r="AC47" s="17"/>
      <c r="AD47" s="17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7" t="str">
        <f>IF(AE47="","",IFERROR(VLOOKUP(AE47,角色_装备!B:C,2,FALSE),"ERROR"))</f>
        <v/>
      </c>
      <c r="AR47" s="17" t="str">
        <f>IF(AF47="","",IFERROR(VLOOKUP(AF47,角色_装备!B:C,2,FALSE),"ERROR"))</f>
        <v/>
      </c>
      <c r="AS47" s="17" t="str">
        <f>IF(AG47="","",IFERROR(VLOOKUP(AG47,角色_装备!B:C,2,FALSE),"ERROR"))</f>
        <v/>
      </c>
      <c r="AT47" s="17"/>
      <c r="AU47" s="17"/>
      <c r="AV47" s="17"/>
      <c r="AW47" s="17"/>
      <c r="AX47" s="17"/>
      <c r="AY47" s="17"/>
      <c r="AZ47" s="17"/>
      <c r="BA47" s="17"/>
      <c r="BB47" s="17"/>
    </row>
    <row r="48" spans="1:54">
      <c r="A48" s="5"/>
      <c r="B48" s="31"/>
      <c r="C48" s="31"/>
      <c r="D48" s="31"/>
      <c r="E48" s="65" t="str">
        <f>IF(D48="","",IFERROR(VLOOKUP(D48,角色_种族_友方!B:C,2,FALSE),"ERROR"))</f>
        <v/>
      </c>
      <c r="F48" s="69"/>
      <c r="G48" s="70"/>
      <c r="H48" s="74"/>
      <c r="I48" s="70"/>
      <c r="J48" s="74"/>
      <c r="K48" s="74"/>
      <c r="L48" s="74"/>
      <c r="M48" s="81"/>
      <c r="N48" s="82"/>
      <c r="O48" s="79"/>
      <c r="P48" s="80"/>
      <c r="Q48" s="80"/>
      <c r="R48" s="80"/>
      <c r="S48" s="80"/>
      <c r="T48" s="80"/>
      <c r="U48" s="17"/>
      <c r="V48" s="17"/>
      <c r="W48" s="17"/>
      <c r="X48" s="17"/>
      <c r="Y48" s="17"/>
      <c r="Z48" s="17"/>
      <c r="AA48" s="17"/>
      <c r="AB48" s="22" t="str">
        <f>IF(Y48="","",IFERROR(VLOOKUP(Y48,角色_能力!B:C,2,FALSE),"ERROR"))</f>
        <v/>
      </c>
      <c r="AC48" s="17"/>
      <c r="AD48" s="17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7" t="str">
        <f>IF(AE48="","",IFERROR(VLOOKUP(AE48,角色_装备!B:C,2,FALSE),"ERROR"))</f>
        <v/>
      </c>
      <c r="AR48" s="17" t="str">
        <f>IF(AF48="","",IFERROR(VLOOKUP(AF48,角色_装备!B:C,2,FALSE),"ERROR"))</f>
        <v/>
      </c>
      <c r="AS48" s="17" t="str">
        <f>IF(AG48="","",IFERROR(VLOOKUP(AG48,角色_装备!B:C,2,FALSE),"ERROR"))</f>
        <v/>
      </c>
      <c r="AT48" s="17"/>
      <c r="AU48" s="17"/>
      <c r="AV48" s="17"/>
      <c r="AW48" s="17"/>
      <c r="AX48" s="17"/>
      <c r="AY48" s="17"/>
      <c r="AZ48" s="17"/>
      <c r="BA48" s="17"/>
      <c r="BB48" s="17"/>
    </row>
    <row r="49" spans="1:54">
      <c r="A49" s="5"/>
      <c r="B49" s="31"/>
      <c r="C49" s="31"/>
      <c r="D49" s="31"/>
      <c r="E49" s="65" t="str">
        <f>IF(D49="","",IFERROR(VLOOKUP(D49,角色_种族_友方!B:C,2,FALSE),"ERROR"))</f>
        <v/>
      </c>
      <c r="F49" s="69"/>
      <c r="G49" s="70"/>
      <c r="H49" s="74"/>
      <c r="I49" s="70"/>
      <c r="J49" s="74"/>
      <c r="K49" s="74"/>
      <c r="L49" s="74"/>
      <c r="M49" s="81"/>
      <c r="N49" s="82"/>
      <c r="O49" s="79"/>
      <c r="P49" s="80"/>
      <c r="Q49" s="80"/>
      <c r="R49" s="80"/>
      <c r="S49" s="80"/>
      <c r="T49" s="80"/>
      <c r="U49" s="17"/>
      <c r="V49" s="17"/>
      <c r="W49" s="17"/>
      <c r="X49" s="17"/>
      <c r="Y49" s="17"/>
      <c r="Z49" s="17"/>
      <c r="AA49" s="17"/>
      <c r="AB49" s="22" t="str">
        <f>IF(Y49="","",IFERROR(VLOOKUP(Y49,角色_能力!B:C,2,FALSE),"ERROR"))</f>
        <v/>
      </c>
      <c r="AC49" s="17"/>
      <c r="AD49" s="17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7" t="str">
        <f>IF(AE49="","",IFERROR(VLOOKUP(AE49,角色_装备!B:C,2,FALSE),"ERROR"))</f>
        <v/>
      </c>
      <c r="AR49" s="17" t="str">
        <f>IF(AF49="","",IFERROR(VLOOKUP(AF49,角色_装备!B:C,2,FALSE),"ERROR"))</f>
        <v/>
      </c>
      <c r="AS49" s="17" t="str">
        <f>IF(AG49="","",IFERROR(VLOOKUP(AG49,角色_装备!B:C,2,FALSE),"ERROR"))</f>
        <v/>
      </c>
      <c r="AT49" s="17"/>
      <c r="AU49" s="17"/>
      <c r="AV49" s="17"/>
      <c r="AW49" s="17"/>
      <c r="AX49" s="17"/>
      <c r="AY49" s="17"/>
      <c r="AZ49" s="17"/>
      <c r="BA49" s="17"/>
      <c r="BB49" s="17"/>
    </row>
    <row r="50" spans="1:54">
      <c r="A50" s="5"/>
      <c r="B50" s="31"/>
      <c r="C50" s="31"/>
      <c r="D50" s="31"/>
      <c r="E50" s="65" t="str">
        <f>IF(D50="","",IFERROR(VLOOKUP(D50,角色_种族_友方!B:C,2,FALSE),"ERROR"))</f>
        <v/>
      </c>
      <c r="F50" s="69"/>
      <c r="G50" s="70"/>
      <c r="H50" s="74"/>
      <c r="I50" s="70"/>
      <c r="J50" s="74"/>
      <c r="K50" s="74"/>
      <c r="L50" s="74"/>
      <c r="M50" s="81"/>
      <c r="N50" s="82"/>
      <c r="O50" s="79"/>
      <c r="P50" s="80"/>
      <c r="Q50" s="80"/>
      <c r="R50" s="80"/>
      <c r="S50" s="80"/>
      <c r="T50" s="80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7" t="str">
        <f>IF(AE50="","",IFERROR(VLOOKUP(AE50,角色_装备!B:C,2,FALSE),"ERROR"))</f>
        <v/>
      </c>
      <c r="AR50" s="17" t="str">
        <f>IF(AF50="","",IFERROR(VLOOKUP(AF50,角色_装备!B:C,2,FALSE),"ERROR"))</f>
        <v/>
      </c>
      <c r="AS50" s="17" t="str">
        <f>IF(AG50="","",IFERROR(VLOOKUP(AG50,角色_装备!B:C,2,FALSE),"ERROR"))</f>
        <v/>
      </c>
      <c r="AT50" s="17"/>
      <c r="AU50" s="17"/>
      <c r="AV50" s="17"/>
      <c r="AW50" s="17"/>
      <c r="AX50" s="17"/>
      <c r="AY50" s="17"/>
      <c r="AZ50" s="17"/>
      <c r="BA50" s="17"/>
      <c r="BB50" s="17"/>
    </row>
    <row r="51" spans="1:54">
      <c r="A51" s="5"/>
      <c r="B51" s="31"/>
      <c r="C51" s="31"/>
      <c r="D51" s="31"/>
      <c r="E51" s="65" t="str">
        <f>IF(D51="","",IFERROR(VLOOKUP(D51,角色_种族_友方!B:C,2,FALSE),"ERROR"))</f>
        <v/>
      </c>
      <c r="F51" s="74"/>
      <c r="G51" s="70"/>
      <c r="H51" s="74"/>
      <c r="I51" s="70"/>
      <c r="J51" s="74"/>
      <c r="K51" s="74"/>
      <c r="L51" s="74"/>
      <c r="M51" s="81"/>
      <c r="N51" s="82"/>
      <c r="O51" s="79"/>
      <c r="P51" s="80"/>
      <c r="Q51" s="80"/>
      <c r="R51" s="80"/>
      <c r="S51" s="80"/>
      <c r="T51" s="80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7" t="str">
        <f>IF(AE51="","",IFERROR(VLOOKUP(AE51,角色_装备!B:C,2,FALSE),"ERROR"))</f>
        <v/>
      </c>
      <c r="AR51" s="17" t="str">
        <f>IF(AF51="","",IFERROR(VLOOKUP(AF51,角色_装备!B:C,2,FALSE),"ERROR"))</f>
        <v/>
      </c>
      <c r="AS51" s="17" t="str">
        <f>IF(AG51="","",IFERROR(VLOOKUP(AG51,角色_装备!B:C,2,FALSE),"ERROR"))</f>
        <v/>
      </c>
      <c r="AT51" s="17"/>
      <c r="AU51" s="17"/>
      <c r="AV51" s="17"/>
      <c r="AW51" s="17"/>
      <c r="AX51" s="17"/>
      <c r="AY51" s="17"/>
      <c r="AZ51" s="17"/>
      <c r="BA51" s="17"/>
      <c r="BB51" s="17"/>
    </row>
    <row r="52" spans="1:54">
      <c r="A52" s="5"/>
      <c r="B52" s="31"/>
      <c r="C52" s="31"/>
      <c r="D52" s="31"/>
      <c r="E52" s="65" t="str">
        <f>IF(D52="","",IFERROR(VLOOKUP(D52,角色_种族_友方!B:C,2,FALSE),"ERROR"))</f>
        <v/>
      </c>
      <c r="F52" s="74"/>
      <c r="G52" s="70"/>
      <c r="H52" s="74"/>
      <c r="I52" s="70"/>
      <c r="J52" s="74"/>
      <c r="K52" s="74"/>
      <c r="L52" s="74"/>
      <c r="M52" s="81"/>
      <c r="N52" s="82"/>
      <c r="O52" s="79"/>
      <c r="P52" s="80"/>
      <c r="Q52" s="80"/>
      <c r="R52" s="80"/>
      <c r="S52" s="80"/>
      <c r="T52" s="80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7" t="str">
        <f>IF(AE52="","",IFERROR(VLOOKUP(AE52,角色_装备!B:C,2,FALSE),"ERROR"))</f>
        <v/>
      </c>
      <c r="AR52" s="17" t="str">
        <f>IF(AF52="","",IFERROR(VLOOKUP(AF52,角色_装备!B:C,2,FALSE),"ERROR"))</f>
        <v/>
      </c>
      <c r="AS52" s="17" t="str">
        <f>IF(AG52="","",IFERROR(VLOOKUP(AG52,角色_装备!B:C,2,FALSE),"ERROR"))</f>
        <v/>
      </c>
      <c r="AT52" s="17"/>
      <c r="AU52" s="17"/>
      <c r="AV52" s="17"/>
      <c r="AW52" s="17"/>
      <c r="AX52" s="17"/>
      <c r="AY52" s="17"/>
      <c r="AZ52" s="17"/>
      <c r="BA52" s="17"/>
      <c r="BB52" s="17"/>
    </row>
    <row r="53" spans="1:54">
      <c r="A53" s="5"/>
      <c r="B53" s="31"/>
      <c r="C53" s="31"/>
      <c r="D53" s="31"/>
      <c r="E53" s="65" t="str">
        <f>IF(D53="","",IFERROR(VLOOKUP(D53,角色_种族_友方!B:C,2,FALSE),"ERROR"))</f>
        <v/>
      </c>
      <c r="F53" s="74"/>
      <c r="G53" s="70"/>
      <c r="H53" s="74"/>
      <c r="I53" s="70"/>
      <c r="J53" s="74"/>
      <c r="K53" s="74"/>
      <c r="L53" s="74"/>
      <c r="M53" s="81"/>
      <c r="N53" s="82"/>
      <c r="O53" s="79"/>
      <c r="P53" s="80"/>
      <c r="Q53" s="80"/>
      <c r="R53" s="80"/>
      <c r="S53" s="80"/>
      <c r="T53" s="80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7" t="str">
        <f>IF(AE53="","",IFERROR(VLOOKUP(AE53,角色_装备!B:C,2,FALSE),"ERROR"))</f>
        <v/>
      </c>
      <c r="AR53" s="17" t="str">
        <f>IF(AF53="","",IFERROR(VLOOKUP(AF53,角色_装备!B:C,2,FALSE),"ERROR"))</f>
        <v/>
      </c>
      <c r="AS53" s="17" t="str">
        <f>IF(AG53="","",IFERROR(VLOOKUP(AG53,角色_装备!B:C,2,FALSE),"ERROR"))</f>
        <v/>
      </c>
      <c r="AT53" s="17"/>
      <c r="AU53" s="17"/>
      <c r="AV53" s="17"/>
      <c r="AW53" s="17"/>
      <c r="AX53" s="17"/>
      <c r="AY53" s="17"/>
      <c r="AZ53" s="17"/>
      <c r="BA53" s="17"/>
      <c r="BB53" s="17"/>
    </row>
    <row r="54" spans="1:54">
      <c r="A54" s="5"/>
      <c r="B54" s="31"/>
      <c r="C54" s="31"/>
      <c r="D54" s="31"/>
      <c r="E54" s="65" t="str">
        <f>IF(D54="","",IFERROR(VLOOKUP(D54,角色_种族_友方!B:C,2,FALSE),"ERROR"))</f>
        <v/>
      </c>
      <c r="F54" s="74"/>
      <c r="G54" s="70"/>
      <c r="H54" s="74"/>
      <c r="I54" s="70"/>
      <c r="J54" s="74"/>
      <c r="K54" s="74"/>
      <c r="L54" s="74"/>
      <c r="M54" s="81"/>
      <c r="N54" s="82"/>
      <c r="O54" s="79"/>
      <c r="P54" s="80"/>
      <c r="Q54" s="80"/>
      <c r="R54" s="80"/>
      <c r="S54" s="80"/>
      <c r="T54" s="80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 t="str">
        <f>IF(AE54="","",IFERROR(VLOOKUP(AE54,角色_装备!B:C,2,FALSE),"ERROR"))</f>
        <v/>
      </c>
      <c r="AR54" s="17" t="str">
        <f>IF(AF54="","",IFERROR(VLOOKUP(AF54,角色_装备!B:C,2,FALSE),"ERROR"))</f>
        <v/>
      </c>
      <c r="AS54" s="17" t="str">
        <f>IF(AG54="","",IFERROR(VLOOKUP(AG54,角色_装备!B:C,2,FALSE),"ERROR"))</f>
        <v/>
      </c>
      <c r="AT54" s="17"/>
      <c r="AU54" s="17"/>
      <c r="AV54" s="17"/>
      <c r="AW54" s="17"/>
      <c r="AX54" s="17"/>
      <c r="AY54" s="17"/>
      <c r="AZ54" s="17"/>
      <c r="BA54" s="17"/>
      <c r="BB54" s="17"/>
    </row>
    <row r="55" spans="1:54">
      <c r="A55" s="5"/>
      <c r="B55" s="31"/>
      <c r="C55" s="31"/>
      <c r="D55" s="31"/>
      <c r="E55" s="65" t="str">
        <f>IF(D55="","",IFERROR(VLOOKUP(D55,角色_种族_友方!B:C,2,FALSE),"ERROR"))</f>
        <v/>
      </c>
      <c r="F55" s="74"/>
      <c r="G55" s="70"/>
      <c r="H55" s="74"/>
      <c r="I55" s="70"/>
      <c r="J55" s="74"/>
      <c r="K55" s="74"/>
      <c r="L55" s="74"/>
      <c r="M55" s="81"/>
      <c r="N55" s="82"/>
      <c r="O55" s="79"/>
      <c r="P55" s="80"/>
      <c r="Q55" s="80"/>
      <c r="R55" s="80"/>
      <c r="S55" s="80"/>
      <c r="T55" s="80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7" t="str">
        <f>IF(AE55="","",IFERROR(VLOOKUP(AE55,角色_装备!B:C,2,FALSE),"ERROR"))</f>
        <v/>
      </c>
      <c r="AR55" s="17" t="str">
        <f>IF(AF55="","",IFERROR(VLOOKUP(AF55,角色_装备!B:C,2,FALSE),"ERROR"))</f>
        <v/>
      </c>
      <c r="AS55" s="17" t="str">
        <f>IF(AG55="","",IFERROR(VLOOKUP(AG55,角色_装备!B:C,2,FALSE),"ERROR"))</f>
        <v/>
      </c>
      <c r="AT55" s="17"/>
      <c r="AU55" s="17"/>
      <c r="AV55" s="17"/>
      <c r="AW55" s="17"/>
      <c r="AX55" s="17"/>
      <c r="AY55" s="17"/>
      <c r="AZ55" s="17"/>
      <c r="BA55" s="17"/>
      <c r="BB55" s="17"/>
    </row>
    <row r="56" spans="1:54">
      <c r="A56" s="5"/>
      <c r="B56" s="31"/>
      <c r="C56" s="31"/>
      <c r="D56" s="31"/>
      <c r="E56" s="65" t="str">
        <f>IF(D56="","",IFERROR(VLOOKUP(D56,角色_种族_友方!B:C,2,FALSE),"ERROR"))</f>
        <v/>
      </c>
      <c r="F56" s="74"/>
      <c r="G56" s="70"/>
      <c r="H56" s="74"/>
      <c r="I56" s="70"/>
      <c r="J56" s="74"/>
      <c r="K56" s="74"/>
      <c r="L56" s="74"/>
      <c r="M56" s="81"/>
      <c r="N56" s="82"/>
      <c r="O56" s="79"/>
      <c r="P56" s="80"/>
      <c r="Q56" s="80"/>
      <c r="R56" s="80"/>
      <c r="S56" s="80"/>
      <c r="T56" s="80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7" t="str">
        <f>IF(AE56="","",IFERROR(VLOOKUP(AE56,角色_装备!B:C,2,FALSE),"ERROR"))</f>
        <v/>
      </c>
      <c r="AR56" s="17" t="str">
        <f>IF(AF56="","",IFERROR(VLOOKUP(AF56,角色_装备!B:C,2,FALSE),"ERROR"))</f>
        <v/>
      </c>
      <c r="AS56" s="17" t="str">
        <f>IF(AG56="","",IFERROR(VLOOKUP(AG56,角色_装备!B:C,2,FALSE),"ERROR"))</f>
        <v/>
      </c>
      <c r="AT56" s="17"/>
      <c r="AU56" s="17"/>
      <c r="AV56" s="17"/>
      <c r="AW56" s="17"/>
      <c r="AX56" s="17"/>
      <c r="AY56" s="17"/>
      <c r="AZ56" s="17"/>
      <c r="BA56" s="17"/>
      <c r="BB56" s="17"/>
    </row>
    <row r="57" spans="1:54">
      <c r="A57" s="5"/>
      <c r="B57" s="31"/>
      <c r="C57" s="31"/>
      <c r="D57" s="31"/>
      <c r="E57" s="65" t="str">
        <f>IF(D57="","",IFERROR(VLOOKUP(D57,角色_种族_友方!B:C,2,FALSE),"ERROR"))</f>
        <v/>
      </c>
      <c r="F57" s="74"/>
      <c r="G57" s="70"/>
      <c r="H57" s="74"/>
      <c r="I57" s="70"/>
      <c r="J57" s="74"/>
      <c r="K57" s="74"/>
      <c r="L57" s="74"/>
      <c r="M57" s="81"/>
      <c r="N57" s="82"/>
      <c r="O57" s="79"/>
      <c r="P57" s="80"/>
      <c r="Q57" s="80"/>
      <c r="R57" s="80"/>
      <c r="S57" s="80"/>
      <c r="T57" s="80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7" t="str">
        <f>IF(AE57="","",IFERROR(VLOOKUP(AE57,角色_装备!B:C,2,FALSE),"ERROR"))</f>
        <v/>
      </c>
      <c r="AR57" s="17" t="str">
        <f>IF(AF57="","",IFERROR(VLOOKUP(AF57,角色_装备!B:C,2,FALSE),"ERROR"))</f>
        <v/>
      </c>
      <c r="AS57" s="17" t="str">
        <f>IF(AG57="","",IFERROR(VLOOKUP(AG57,角色_装备!B:C,2,FALSE),"ERROR"))</f>
        <v/>
      </c>
      <c r="AT57" s="17"/>
      <c r="AU57" s="17"/>
      <c r="AV57" s="17"/>
      <c r="AW57" s="17"/>
      <c r="AX57" s="17"/>
      <c r="AY57" s="17"/>
      <c r="AZ57" s="17"/>
      <c r="BA57" s="17"/>
      <c r="BB57" s="17"/>
    </row>
    <row r="58" spans="1:54">
      <c r="A58" s="5"/>
      <c r="B58" s="31"/>
      <c r="C58" s="31"/>
      <c r="D58" s="31"/>
      <c r="E58" s="65" t="str">
        <f>IF(D58="","",IFERROR(VLOOKUP(D58,角色_种族_友方!B:C,2,FALSE),"ERROR"))</f>
        <v/>
      </c>
      <c r="F58" s="74"/>
      <c r="G58" s="70"/>
      <c r="H58" s="74"/>
      <c r="I58" s="70"/>
      <c r="J58" s="74"/>
      <c r="K58" s="74"/>
      <c r="L58" s="74"/>
      <c r="M58" s="81"/>
      <c r="N58" s="82"/>
      <c r="O58" s="79"/>
      <c r="P58" s="80"/>
      <c r="Q58" s="80"/>
      <c r="R58" s="80"/>
      <c r="S58" s="80"/>
      <c r="T58" s="80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7" t="str">
        <f>IF(AE58="","",IFERROR(VLOOKUP(AE58,角色_装备!B:C,2,FALSE),"ERROR"))</f>
        <v/>
      </c>
      <c r="AR58" s="17" t="str">
        <f>IF(AF58="","",IFERROR(VLOOKUP(AF58,角色_装备!B:C,2,FALSE),"ERROR"))</f>
        <v/>
      </c>
      <c r="AS58" s="17" t="str">
        <f>IF(AG58="","",IFERROR(VLOOKUP(AG58,角色_装备!B:C,2,FALSE),"ERROR"))</f>
        <v/>
      </c>
      <c r="AT58" s="17"/>
      <c r="AU58" s="17"/>
      <c r="AV58" s="17"/>
      <c r="AW58" s="17"/>
      <c r="AX58" s="17"/>
      <c r="AY58" s="17"/>
      <c r="AZ58" s="17"/>
      <c r="BA58" s="17"/>
      <c r="BB58" s="17"/>
    </row>
    <row r="59" spans="1:54">
      <c r="A59" s="5"/>
      <c r="B59" s="31"/>
      <c r="C59" s="31"/>
      <c r="D59" s="31"/>
      <c r="E59" s="65" t="str">
        <f>IF(D59="","",IFERROR(VLOOKUP(D59,角色_种族_友方!B:C,2,FALSE),"ERROR"))</f>
        <v/>
      </c>
      <c r="F59" s="74"/>
      <c r="G59" s="70"/>
      <c r="H59" s="74"/>
      <c r="I59" s="70"/>
      <c r="J59" s="74"/>
      <c r="K59" s="74"/>
      <c r="L59" s="74"/>
      <c r="M59" s="81"/>
      <c r="N59" s="82"/>
      <c r="O59" s="79"/>
      <c r="P59" s="80"/>
      <c r="Q59" s="80"/>
      <c r="R59" s="80"/>
      <c r="S59" s="80"/>
      <c r="T59" s="80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7" t="str">
        <f>IF(AE59="","",IFERROR(VLOOKUP(AE59,角色_装备!B:C,2,FALSE),"ERROR"))</f>
        <v/>
      </c>
      <c r="AR59" s="17" t="str">
        <f>IF(AF59="","",IFERROR(VLOOKUP(AF59,角色_装备!B:C,2,FALSE),"ERROR"))</f>
        <v/>
      </c>
      <c r="AS59" s="17" t="str">
        <f>IF(AG59="","",IFERROR(VLOOKUP(AG59,角色_装备!B:C,2,FALSE),"ERROR"))</f>
        <v/>
      </c>
      <c r="AT59" s="17"/>
      <c r="AU59" s="17"/>
      <c r="AV59" s="17"/>
      <c r="AW59" s="17"/>
      <c r="AX59" s="17"/>
      <c r="AY59" s="17"/>
      <c r="AZ59" s="17"/>
      <c r="BA59" s="17"/>
      <c r="BB59" s="17"/>
    </row>
    <row r="60" spans="1:54">
      <c r="A60" s="5"/>
      <c r="B60" s="31"/>
      <c r="C60" s="31"/>
      <c r="D60" s="31"/>
      <c r="E60" s="65" t="str">
        <f>IF(D60="","",IFERROR(VLOOKUP(D60,角色_种族_友方!B:C,2,FALSE),"ERROR"))</f>
        <v/>
      </c>
      <c r="F60" s="74"/>
      <c r="G60" s="70"/>
      <c r="H60" s="74"/>
      <c r="I60" s="70"/>
      <c r="J60" s="74"/>
      <c r="K60" s="74"/>
      <c r="L60" s="74"/>
      <c r="M60" s="81"/>
      <c r="N60" s="82"/>
      <c r="O60" s="79"/>
      <c r="P60" s="80"/>
      <c r="Q60" s="80"/>
      <c r="R60" s="80"/>
      <c r="S60" s="80"/>
      <c r="T60" s="80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7" t="str">
        <f>IF(AE60="","",IFERROR(VLOOKUP(AE60,角色_装备!B:C,2,FALSE),"ERROR"))</f>
        <v/>
      </c>
      <c r="AR60" s="17" t="str">
        <f>IF(AF60="","",IFERROR(VLOOKUP(AF60,角色_装备!B:C,2,FALSE),"ERROR"))</f>
        <v/>
      </c>
      <c r="AS60" s="17" t="str">
        <f>IF(AG60="","",IFERROR(VLOOKUP(AG60,角色_装备!B:C,2,FALSE),"ERROR"))</f>
        <v/>
      </c>
      <c r="AT60" s="17"/>
      <c r="AU60" s="17"/>
      <c r="AV60" s="17"/>
      <c r="AW60" s="17"/>
      <c r="AX60" s="17"/>
      <c r="AY60" s="17"/>
      <c r="AZ60" s="17"/>
      <c r="BA60" s="17"/>
      <c r="BB60" s="17"/>
    </row>
    <row r="61" spans="1:54">
      <c r="A61" s="5"/>
      <c r="B61" s="31"/>
      <c r="C61" s="31"/>
      <c r="D61" s="31"/>
      <c r="E61" s="65" t="str">
        <f>IF(D61="","",IFERROR(VLOOKUP(D61,角色_种族_友方!B:C,2,FALSE),"ERROR"))</f>
        <v/>
      </c>
      <c r="F61" s="74"/>
      <c r="G61" s="70"/>
      <c r="H61" s="74"/>
      <c r="I61" s="70"/>
      <c r="J61" s="74"/>
      <c r="K61" s="74"/>
      <c r="L61" s="74"/>
      <c r="M61" s="81"/>
      <c r="N61" s="82"/>
      <c r="O61" s="79"/>
      <c r="P61" s="80"/>
      <c r="Q61" s="80"/>
      <c r="R61" s="80"/>
      <c r="S61" s="80"/>
      <c r="T61" s="80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7" t="str">
        <f>IF(AE61="","",IFERROR(VLOOKUP(AE61,角色_装备!B:C,2,FALSE),"ERROR"))</f>
        <v/>
      </c>
      <c r="AR61" s="17" t="str">
        <f>IF(AF61="","",IFERROR(VLOOKUP(AF61,角色_装备!B:C,2,FALSE),"ERROR"))</f>
        <v/>
      </c>
      <c r="AS61" s="17" t="str">
        <f>IF(AG61="","",IFERROR(VLOOKUP(AG61,角色_装备!B:C,2,FALSE),"ERROR"))</f>
        <v/>
      </c>
      <c r="AT61" s="17"/>
      <c r="AU61" s="17"/>
      <c r="AV61" s="17"/>
      <c r="AW61" s="17"/>
      <c r="AX61" s="17"/>
      <c r="AY61" s="17"/>
      <c r="AZ61" s="17"/>
      <c r="BA61" s="17"/>
      <c r="BB61" s="17"/>
    </row>
    <row r="62" spans="1:54">
      <c r="A62" s="5"/>
      <c r="B62" s="31"/>
      <c r="C62" s="31"/>
      <c r="D62" s="31"/>
      <c r="E62" s="65" t="str">
        <f>IF(D62="","",IFERROR(VLOOKUP(D62,角色_种族_友方!B:C,2,FALSE),"ERROR"))</f>
        <v/>
      </c>
      <c r="F62" s="74"/>
      <c r="G62" s="70"/>
      <c r="H62" s="74"/>
      <c r="I62" s="70"/>
      <c r="J62" s="74"/>
      <c r="K62" s="74"/>
      <c r="L62" s="74"/>
      <c r="M62" s="81"/>
      <c r="N62" s="82"/>
      <c r="O62" s="79"/>
      <c r="P62" s="80"/>
      <c r="Q62" s="80"/>
      <c r="R62" s="80"/>
      <c r="S62" s="80"/>
      <c r="T62" s="80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7" t="str">
        <f>IF(AE62="","",IFERROR(VLOOKUP(AE62,角色_装备!B:C,2,FALSE),"ERROR"))</f>
        <v/>
      </c>
      <c r="AR62" s="17" t="str">
        <f>IF(AF62="","",IFERROR(VLOOKUP(AF62,角色_装备!B:C,2,FALSE),"ERROR"))</f>
        <v/>
      </c>
      <c r="AS62" s="17" t="str">
        <f>IF(AG62="","",IFERROR(VLOOKUP(AG62,角色_装备!B:C,2,FALSE),"ERROR"))</f>
        <v/>
      </c>
      <c r="AT62" s="17"/>
      <c r="AU62" s="17"/>
      <c r="AV62" s="17"/>
      <c r="AW62" s="17"/>
      <c r="AX62" s="17"/>
      <c r="AY62" s="17"/>
      <c r="AZ62" s="17"/>
      <c r="BA62" s="17"/>
      <c r="BB62" s="17"/>
    </row>
    <row r="63" spans="1:54">
      <c r="A63" s="5"/>
      <c r="B63" s="31"/>
      <c r="C63" s="31"/>
      <c r="D63" s="31"/>
      <c r="E63" s="65" t="str">
        <f>IF(D63="","",IFERROR(VLOOKUP(D63,角色_种族_友方!B:C,2,FALSE),"ERROR"))</f>
        <v/>
      </c>
      <c r="F63" s="74"/>
      <c r="G63" s="70"/>
      <c r="H63" s="74"/>
      <c r="I63" s="70"/>
      <c r="J63" s="74"/>
      <c r="K63" s="74"/>
      <c r="L63" s="74"/>
      <c r="M63" s="81"/>
      <c r="N63" s="82"/>
      <c r="O63" s="79"/>
      <c r="P63" s="80"/>
      <c r="Q63" s="80"/>
      <c r="R63" s="80"/>
      <c r="S63" s="80"/>
      <c r="T63" s="80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7" t="str">
        <f>IF(AE63="","",IFERROR(VLOOKUP(AE63,角色_装备!B:C,2,FALSE),"ERROR"))</f>
        <v/>
      </c>
      <c r="AR63" s="17" t="str">
        <f>IF(AF63="","",IFERROR(VLOOKUP(AF63,角色_装备!B:C,2,FALSE),"ERROR"))</f>
        <v/>
      </c>
      <c r="AS63" s="17" t="str">
        <f>IF(AG63="","",IFERROR(VLOOKUP(AG63,角色_装备!B:C,2,FALSE),"ERROR"))</f>
        <v/>
      </c>
      <c r="AT63" s="17"/>
      <c r="AU63" s="17"/>
      <c r="AV63" s="17"/>
      <c r="AW63" s="17"/>
      <c r="AX63" s="17"/>
      <c r="AY63" s="17"/>
      <c r="AZ63" s="17"/>
      <c r="BA63" s="17"/>
      <c r="BB63" s="17"/>
    </row>
    <row r="64" spans="1:54">
      <c r="A64" s="5"/>
      <c r="B64" s="31"/>
      <c r="C64" s="31"/>
      <c r="D64" s="31"/>
      <c r="E64" s="65" t="str">
        <f>IF(D64="","",IFERROR(VLOOKUP(D64,角色_种族_友方!B:C,2,FALSE),"ERROR"))</f>
        <v/>
      </c>
      <c r="F64" s="74"/>
      <c r="G64" s="70"/>
      <c r="H64" s="74"/>
      <c r="I64" s="70"/>
      <c r="J64" s="74"/>
      <c r="K64" s="74"/>
      <c r="L64" s="74"/>
      <c r="M64" s="81"/>
      <c r="N64" s="82"/>
      <c r="O64" s="79"/>
      <c r="P64" s="80"/>
      <c r="Q64" s="80"/>
      <c r="R64" s="80"/>
      <c r="S64" s="80"/>
      <c r="T64" s="80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7" t="str">
        <f>IF(AE64="","",IFERROR(VLOOKUP(AE64,角色_装备!B:C,2,FALSE),"ERROR"))</f>
        <v/>
      </c>
      <c r="AR64" s="17" t="str">
        <f>IF(AF64="","",IFERROR(VLOOKUP(AF64,角色_装备!B:C,2,FALSE),"ERROR"))</f>
        <v/>
      </c>
      <c r="AS64" s="17" t="str">
        <f>IF(AG64="","",IFERROR(VLOOKUP(AG64,角色_装备!B:C,2,FALSE),"ERROR"))</f>
        <v/>
      </c>
      <c r="AT64" s="17"/>
      <c r="AU64" s="17"/>
      <c r="AV64" s="17"/>
      <c r="AW64" s="17"/>
      <c r="AX64" s="17"/>
      <c r="AY64" s="17"/>
      <c r="AZ64" s="17"/>
      <c r="BA64" s="17"/>
      <c r="BB64" s="17"/>
    </row>
    <row r="65" spans="1:54">
      <c r="A65" s="5"/>
      <c r="B65" s="31"/>
      <c r="C65" s="31"/>
      <c r="D65" s="31"/>
      <c r="E65" s="65" t="str">
        <f>IF(D65="","",IFERROR(VLOOKUP(D65,角色_种族_友方!B:C,2,FALSE),"ERROR"))</f>
        <v/>
      </c>
      <c r="F65" s="74"/>
      <c r="G65" s="70"/>
      <c r="H65" s="74"/>
      <c r="I65" s="70"/>
      <c r="J65" s="74"/>
      <c r="K65" s="74"/>
      <c r="L65" s="74"/>
      <c r="M65" s="81"/>
      <c r="N65" s="82"/>
      <c r="O65" s="79"/>
      <c r="P65" s="80"/>
      <c r="Q65" s="80"/>
      <c r="R65" s="80"/>
      <c r="S65" s="80"/>
      <c r="T65" s="80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7" t="str">
        <f>IF(AE65="","",IFERROR(VLOOKUP(AE65,角色_装备!B:C,2,FALSE),"ERROR"))</f>
        <v/>
      </c>
      <c r="AR65" s="17" t="str">
        <f>IF(AF65="","",IFERROR(VLOOKUP(AF65,角色_装备!B:C,2,FALSE),"ERROR"))</f>
        <v/>
      </c>
      <c r="AS65" s="17" t="str">
        <f>IF(AG65="","",IFERROR(VLOOKUP(AG65,角色_装备!B:C,2,FALSE),"ERROR"))</f>
        <v/>
      </c>
      <c r="AT65" s="17"/>
      <c r="AU65" s="17"/>
      <c r="AV65" s="17"/>
      <c r="AW65" s="17"/>
      <c r="AX65" s="17"/>
      <c r="AY65" s="17"/>
      <c r="AZ65" s="17"/>
      <c r="BA65" s="17"/>
      <c r="BB65" s="17"/>
    </row>
    <row r="66" spans="1:54">
      <c r="A66" s="5"/>
      <c r="B66" s="31"/>
      <c r="C66" s="31"/>
      <c r="D66" s="31"/>
      <c r="E66" s="65" t="str">
        <f>IF(D66="","",IFERROR(VLOOKUP(D66,角色_种族_友方!B:C,2,FALSE),"ERROR"))</f>
        <v/>
      </c>
      <c r="F66" s="74"/>
      <c r="G66" s="70"/>
      <c r="H66" s="74"/>
      <c r="I66" s="70"/>
      <c r="J66" s="74"/>
      <c r="K66" s="74"/>
      <c r="L66" s="74"/>
      <c r="M66" s="81"/>
      <c r="N66" s="82"/>
      <c r="O66" s="79"/>
      <c r="P66" s="80"/>
      <c r="Q66" s="80"/>
      <c r="R66" s="80"/>
      <c r="S66" s="80"/>
      <c r="T66" s="80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7" t="str">
        <f>IF(AE66="","",IFERROR(VLOOKUP(AE66,角色_装备!B:C,2,FALSE),"ERROR"))</f>
        <v/>
      </c>
      <c r="AR66" s="17" t="str">
        <f>IF(AF66="","",IFERROR(VLOOKUP(AF66,角色_装备!B:C,2,FALSE),"ERROR"))</f>
        <v/>
      </c>
      <c r="AS66" s="17" t="str">
        <f>IF(AG66="","",IFERROR(VLOOKUP(AG66,角色_装备!B:C,2,FALSE),"ERROR"))</f>
        <v/>
      </c>
      <c r="AT66" s="17"/>
      <c r="AU66" s="17"/>
      <c r="AV66" s="17"/>
      <c r="AW66" s="17"/>
      <c r="AX66" s="17"/>
      <c r="AY66" s="17"/>
      <c r="AZ66" s="17"/>
      <c r="BA66" s="17"/>
      <c r="BB66" s="17"/>
    </row>
    <row r="67" spans="1:54">
      <c r="A67" s="5"/>
      <c r="B67" s="31"/>
      <c r="C67" s="31"/>
      <c r="D67" s="31"/>
      <c r="E67" s="65" t="str">
        <f>IF(D67="","",IFERROR(VLOOKUP(D67,角色_种族_友方!B:C,2,FALSE),"ERROR"))</f>
        <v/>
      </c>
      <c r="F67" s="74"/>
      <c r="G67" s="70"/>
      <c r="H67" s="74"/>
      <c r="I67" s="70"/>
      <c r="J67" s="74"/>
      <c r="K67" s="74"/>
      <c r="L67" s="74"/>
      <c r="M67" s="81"/>
      <c r="N67" s="82"/>
      <c r="O67" s="79"/>
      <c r="P67" s="80"/>
      <c r="Q67" s="80"/>
      <c r="R67" s="80"/>
      <c r="S67" s="80"/>
      <c r="T67" s="80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7" t="str">
        <f>IF(AE67="","",IFERROR(VLOOKUP(AE67,角色_装备!B:C,2,FALSE),"ERROR"))</f>
        <v/>
      </c>
      <c r="AR67" s="17" t="str">
        <f>IF(AF67="","",IFERROR(VLOOKUP(AF67,角色_装备!B:C,2,FALSE),"ERROR"))</f>
        <v/>
      </c>
      <c r="AS67" s="17" t="str">
        <f>IF(AG67="","",IFERROR(VLOOKUP(AG67,角色_装备!B:C,2,FALSE),"ERROR"))</f>
        <v/>
      </c>
      <c r="AT67" s="17"/>
      <c r="AU67" s="17"/>
      <c r="AV67" s="17"/>
      <c r="AW67" s="17"/>
      <c r="AX67" s="17"/>
      <c r="AY67" s="17"/>
      <c r="AZ67" s="17"/>
      <c r="BA67" s="17"/>
      <c r="BB67" s="17"/>
    </row>
    <row r="68" spans="1:54">
      <c r="A68" s="5"/>
      <c r="B68" s="31"/>
      <c r="C68" s="31"/>
      <c r="D68" s="31"/>
      <c r="E68" s="65" t="str">
        <f>IF(D68="","",IFERROR(VLOOKUP(D68,角色_种族_友方!B:C,2,FALSE),"ERROR"))</f>
        <v/>
      </c>
      <c r="F68" s="74"/>
      <c r="G68" s="70"/>
      <c r="H68" s="74"/>
      <c r="I68" s="70"/>
      <c r="J68" s="74"/>
      <c r="K68" s="74"/>
      <c r="L68" s="74"/>
      <c r="M68" s="81"/>
      <c r="N68" s="82"/>
      <c r="O68" s="79"/>
      <c r="P68" s="80"/>
      <c r="Q68" s="80"/>
      <c r="R68" s="80"/>
      <c r="S68" s="80"/>
      <c r="T68" s="80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7" t="str">
        <f>IF(AE68="","",IFERROR(VLOOKUP(AE68,角色_装备!B:C,2,FALSE),"ERROR"))</f>
        <v/>
      </c>
      <c r="AR68" s="17" t="str">
        <f>IF(AF68="","",IFERROR(VLOOKUP(AF68,角色_装备!B:C,2,FALSE),"ERROR"))</f>
        <v/>
      </c>
      <c r="AS68" s="17" t="str">
        <f>IF(AG68="","",IFERROR(VLOOKUP(AG68,角色_装备!B:C,2,FALSE),"ERROR"))</f>
        <v/>
      </c>
      <c r="AT68" s="17"/>
      <c r="AU68" s="17"/>
      <c r="AV68" s="17"/>
      <c r="AW68" s="17"/>
      <c r="AX68" s="17"/>
      <c r="AY68" s="17"/>
      <c r="AZ68" s="17"/>
      <c r="BA68" s="17"/>
      <c r="BB68" s="17"/>
    </row>
  </sheetData>
  <sheetProtection formatCells="0" formatColumns="0" formatRows="0" insertRows="0" insertColumns="0" insertHyperlinks="0" deleteColumns="0" deleteRows="0" sort="0" autoFilter="0" pivotTables="0"/>
  <mergeCells count="29">
    <mergeCell ref="G1:J1"/>
    <mergeCell ref="L1:N1"/>
    <mergeCell ref="O1:AA1"/>
    <mergeCell ref="AE1:AJ1"/>
    <mergeCell ref="AK1:AP1"/>
    <mergeCell ref="BC1:BH1"/>
    <mergeCell ref="G2:J2"/>
    <mergeCell ref="L2:N2"/>
    <mergeCell ref="O2:AA2"/>
    <mergeCell ref="AE2:AJ2"/>
    <mergeCell ref="AK2:AP2"/>
    <mergeCell ref="BC2:BH2"/>
    <mergeCell ref="O3:T3"/>
    <mergeCell ref="Y3:AA3"/>
    <mergeCell ref="AE3:AJ3"/>
    <mergeCell ref="AK3:AP3"/>
    <mergeCell ref="BC3:BH3"/>
    <mergeCell ref="Y4:AA4"/>
    <mergeCell ref="AH4:AJ4"/>
    <mergeCell ref="AN4:AP4"/>
    <mergeCell ref="M5:N5"/>
    <mergeCell ref="Y5:AA5"/>
    <mergeCell ref="AH5:AJ5"/>
    <mergeCell ref="AN5:AP5"/>
    <mergeCell ref="AT5:AV5"/>
    <mergeCell ref="AZ5:BB5"/>
    <mergeCell ref="E1:E5"/>
    <mergeCell ref="AB1:AD5"/>
    <mergeCell ref="AQ1:BB4"/>
  </mergeCells>
  <conditionalFormatting sqref="O6:T11">
    <cfRule type="cellIs" dxfId="3" priority="1" operator="greaterThanOrEqual">
      <formula>10</formula>
    </cfRule>
  </conditionalFormatting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7"/>
  <sheetViews>
    <sheetView workbookViewId="0">
      <pane ySplit="5" topLeftCell="A6" activePane="bottomLeft" state="frozen"/>
      <selection/>
      <selection pane="bottomLeft" activeCell="A7" sqref="A7"/>
    </sheetView>
  </sheetViews>
  <sheetFormatPr defaultColWidth="9" defaultRowHeight="14.25"/>
  <cols>
    <col min="3" max="3" width="8.725" style="15"/>
    <col min="4" max="4" width="8.625" style="15" customWidth="1"/>
    <col min="5" max="6" width="8.625" style="43" customWidth="1"/>
    <col min="7" max="10" width="10.625" style="2" hidden="1" customWidth="1" outlineLevel="1"/>
    <col min="11" max="11" width="10.625" style="44" hidden="1" customWidth="1" outlineLevel="1"/>
    <col min="12" max="12" width="8.41666666666667" style="45" customWidth="1"/>
    <col min="13" max="13" width="80.625" style="46" customWidth="1"/>
  </cols>
  <sheetData>
    <row r="1" spans="1:13">
      <c r="A1" s="28" t="s">
        <v>0</v>
      </c>
      <c r="B1" s="28" t="s">
        <v>172</v>
      </c>
      <c r="C1" s="28" t="s">
        <v>72</v>
      </c>
      <c r="D1" s="37" t="s">
        <v>569</v>
      </c>
      <c r="E1" s="37"/>
      <c r="F1" s="37"/>
      <c r="G1" s="39" t="s">
        <v>570</v>
      </c>
      <c r="H1" s="39"/>
      <c r="I1" s="39"/>
      <c r="J1" s="39"/>
      <c r="K1" s="42"/>
      <c r="L1" s="53" t="s">
        <v>571</v>
      </c>
      <c r="M1" s="56" t="s">
        <v>572</v>
      </c>
    </row>
    <row r="2" spans="1:13">
      <c r="A2" s="28" t="s">
        <v>392</v>
      </c>
      <c r="B2" s="28" t="s">
        <v>85</v>
      </c>
      <c r="C2" s="28" t="s">
        <v>393</v>
      </c>
      <c r="D2" s="37" t="s">
        <v>145</v>
      </c>
      <c r="E2" s="37"/>
      <c r="F2" s="37"/>
      <c r="G2" s="39"/>
      <c r="H2" s="40"/>
      <c r="I2" s="40"/>
      <c r="J2" s="40"/>
      <c r="K2" s="42"/>
      <c r="L2" s="53" t="s">
        <v>85</v>
      </c>
      <c r="M2" s="56" t="s">
        <v>393</v>
      </c>
    </row>
    <row r="3" spans="1:13">
      <c r="A3" s="28" t="s">
        <v>392</v>
      </c>
      <c r="B3" s="28"/>
      <c r="C3" s="28"/>
      <c r="D3" s="38" t="s">
        <v>530</v>
      </c>
      <c r="E3" s="40"/>
      <c r="F3" s="40"/>
      <c r="G3" s="39"/>
      <c r="H3" s="40"/>
      <c r="I3" s="40"/>
      <c r="J3" s="40"/>
      <c r="K3" s="42"/>
      <c r="L3" s="53"/>
      <c r="M3" s="56"/>
    </row>
    <row r="4" spans="1:13">
      <c r="A4" s="28" t="s">
        <v>392</v>
      </c>
      <c r="B4" s="28"/>
      <c r="C4" s="28"/>
      <c r="D4" s="38"/>
      <c r="E4" s="40"/>
      <c r="F4" s="40"/>
      <c r="G4" s="39"/>
      <c r="H4" s="39"/>
      <c r="I4" s="39"/>
      <c r="J4" s="39"/>
      <c r="K4" s="42"/>
      <c r="L4" s="53"/>
      <c r="M4" s="56"/>
    </row>
    <row r="5" customHeight="1" spans="1:13">
      <c r="A5" s="41" t="s">
        <v>12</v>
      </c>
      <c r="B5" s="41" t="s">
        <v>493</v>
      </c>
      <c r="C5" s="41" t="s">
        <v>501</v>
      </c>
      <c r="D5" s="41" t="s">
        <v>573</v>
      </c>
      <c r="E5" s="40" t="s">
        <v>574</v>
      </c>
      <c r="F5" s="40"/>
      <c r="G5" s="40" t="s">
        <v>575</v>
      </c>
      <c r="H5" s="40" t="s">
        <v>576</v>
      </c>
      <c r="I5" s="40" t="s">
        <v>577</v>
      </c>
      <c r="J5" s="40" t="s">
        <v>578</v>
      </c>
      <c r="K5" s="42" t="s">
        <v>579</v>
      </c>
      <c r="L5" s="53" t="s">
        <v>580</v>
      </c>
      <c r="M5" s="56" t="s">
        <v>581</v>
      </c>
    </row>
    <row r="6" s="2" customFormat="1" ht="28.5" customHeight="1" spans="2:13">
      <c r="B6" s="47">
        <v>40101</v>
      </c>
      <c r="C6" s="48" t="s">
        <v>582</v>
      </c>
      <c r="D6" s="48" t="s">
        <v>155</v>
      </c>
      <c r="E6" s="2"/>
      <c r="F6" s="2"/>
      <c r="G6" s="2"/>
      <c r="H6" s="2"/>
      <c r="I6" s="2"/>
      <c r="J6" s="54">
        <v>2</v>
      </c>
      <c r="K6" s="54"/>
      <c r="L6" s="55">
        <f>G6+10*H6+50*I6+100*J6+1000*K6</f>
        <v>200</v>
      </c>
      <c r="M6" s="57" t="str">
        <f t="shared" ref="M6:M17" si="0">"这是关于“"&amp;C6&amp;"”的描述。"</f>
        <v>这是关于“布袍”的描述。</v>
      </c>
    </row>
    <row r="7" s="2" customFormat="1" ht="28.5" customHeight="1" spans="2:13">
      <c r="B7" s="49">
        <v>40201</v>
      </c>
      <c r="C7" s="50" t="s">
        <v>583</v>
      </c>
      <c r="D7" s="50" t="s">
        <v>157</v>
      </c>
      <c r="E7" s="2">
        <v>11</v>
      </c>
      <c r="F7" s="2"/>
      <c r="G7" s="2"/>
      <c r="H7" s="2"/>
      <c r="I7" s="2"/>
      <c r="J7" s="54">
        <v>5</v>
      </c>
      <c r="K7" s="54"/>
      <c r="L7" s="55">
        <f t="shared" ref="L7:L29" si="1">G7+10*H7+50*I7+100*J7+1000*K7</f>
        <v>500</v>
      </c>
      <c r="M7" s="57" t="str">
        <f t="shared" si="0"/>
        <v>这是关于“布甲”的描述。</v>
      </c>
    </row>
    <row r="8" s="2" customFormat="1" ht="28.5" customHeight="1" spans="2:13">
      <c r="B8" s="49">
        <v>40202</v>
      </c>
      <c r="C8" s="50" t="s">
        <v>584</v>
      </c>
      <c r="D8" s="50" t="s">
        <v>157</v>
      </c>
      <c r="E8" s="2">
        <v>11</v>
      </c>
      <c r="F8" s="2"/>
      <c r="G8" s="2"/>
      <c r="H8" s="2"/>
      <c r="I8" s="2"/>
      <c r="J8" s="54">
        <v>10</v>
      </c>
      <c r="K8" s="54"/>
      <c r="L8" s="55">
        <f t="shared" si="1"/>
        <v>1000</v>
      </c>
      <c r="M8" s="57" t="str">
        <f t="shared" si="0"/>
        <v>这是关于“皮甲”的描述。</v>
      </c>
    </row>
    <row r="9" s="2" customFormat="1" ht="28.5" customHeight="1" spans="2:13">
      <c r="B9" s="49">
        <v>40203</v>
      </c>
      <c r="C9" s="50" t="s">
        <v>585</v>
      </c>
      <c r="D9" s="50" t="s">
        <v>157</v>
      </c>
      <c r="E9" s="2">
        <v>12</v>
      </c>
      <c r="F9" s="2"/>
      <c r="G9" s="2"/>
      <c r="H9" s="2"/>
      <c r="I9" s="2"/>
      <c r="J9" s="54">
        <v>45</v>
      </c>
      <c r="K9" s="54"/>
      <c r="L9" s="55">
        <f t="shared" si="1"/>
        <v>4500</v>
      </c>
      <c r="M9" s="57" t="str">
        <f t="shared" si="0"/>
        <v>这是关于“镶钉皮甲”的描述。</v>
      </c>
    </row>
    <row r="10" s="2" customFormat="1" ht="28.5" customHeight="1" spans="2:13">
      <c r="B10" s="47">
        <v>40301</v>
      </c>
      <c r="C10" s="48" t="s">
        <v>586</v>
      </c>
      <c r="D10" s="48" t="s">
        <v>159</v>
      </c>
      <c r="E10" s="2">
        <v>12</v>
      </c>
      <c r="F10" s="2">
        <v>2</v>
      </c>
      <c r="G10" s="2"/>
      <c r="H10" s="2"/>
      <c r="I10" s="2"/>
      <c r="J10" s="54">
        <v>10</v>
      </c>
      <c r="K10" s="54"/>
      <c r="L10" s="55">
        <f t="shared" si="1"/>
        <v>1000</v>
      </c>
      <c r="M10" s="57" t="str">
        <f t="shared" si="0"/>
        <v>这是关于“兽皮甲”的描述。</v>
      </c>
    </row>
    <row r="11" s="2" customFormat="1" ht="28.5" customHeight="1" spans="2:13">
      <c r="B11" s="47">
        <v>40302</v>
      </c>
      <c r="C11" s="48" t="s">
        <v>587</v>
      </c>
      <c r="D11" s="48" t="s">
        <v>159</v>
      </c>
      <c r="E11" s="2">
        <v>13</v>
      </c>
      <c r="F11" s="2">
        <v>2</v>
      </c>
      <c r="G11" s="2"/>
      <c r="H11" s="2"/>
      <c r="I11" s="2"/>
      <c r="J11" s="54">
        <v>50</v>
      </c>
      <c r="K11" s="54"/>
      <c r="L11" s="55">
        <f t="shared" si="1"/>
        <v>5000</v>
      </c>
      <c r="M11" s="57" t="str">
        <f t="shared" si="0"/>
        <v>这是关于“链甲衫”的描述。</v>
      </c>
    </row>
    <row r="12" s="2" customFormat="1" ht="28.5" customHeight="1" spans="2:13">
      <c r="B12" s="47">
        <v>40303</v>
      </c>
      <c r="C12" s="48" t="s">
        <v>588</v>
      </c>
      <c r="D12" s="48" t="s">
        <v>159</v>
      </c>
      <c r="E12" s="2">
        <v>14</v>
      </c>
      <c r="F12" s="2">
        <v>2</v>
      </c>
      <c r="G12" s="2"/>
      <c r="H12" s="2"/>
      <c r="I12" s="2"/>
      <c r="J12" s="54">
        <v>50</v>
      </c>
      <c r="K12" s="54"/>
      <c r="L12" s="55">
        <f t="shared" si="1"/>
        <v>5000</v>
      </c>
      <c r="M12" s="57" t="str">
        <f t="shared" si="0"/>
        <v>这是关于“鳞甲”的描述。</v>
      </c>
    </row>
    <row r="13" s="2" customFormat="1" ht="28.5" customHeight="1" spans="2:13">
      <c r="B13" s="47">
        <v>40304</v>
      </c>
      <c r="C13" s="48" t="s">
        <v>589</v>
      </c>
      <c r="D13" s="48" t="s">
        <v>159</v>
      </c>
      <c r="E13" s="2">
        <v>14</v>
      </c>
      <c r="F13" s="2">
        <v>2</v>
      </c>
      <c r="G13" s="2"/>
      <c r="H13" s="2"/>
      <c r="I13" s="2"/>
      <c r="J13" s="54">
        <v>400</v>
      </c>
      <c r="K13" s="54"/>
      <c r="L13" s="55">
        <f t="shared" si="1"/>
        <v>40000</v>
      </c>
      <c r="M13" s="57" t="str">
        <f t="shared" si="0"/>
        <v>这是关于“胸甲”的描述。</v>
      </c>
    </row>
    <row r="14" s="2" customFormat="1" ht="28.5" customHeight="1" spans="2:13">
      <c r="B14" s="47">
        <v>40305</v>
      </c>
      <c r="C14" s="48" t="s">
        <v>590</v>
      </c>
      <c r="D14" s="48" t="s">
        <v>159</v>
      </c>
      <c r="E14" s="2">
        <v>15</v>
      </c>
      <c r="F14" s="2">
        <v>2</v>
      </c>
      <c r="G14" s="2"/>
      <c r="H14" s="2"/>
      <c r="I14" s="2"/>
      <c r="J14" s="54">
        <v>750</v>
      </c>
      <c r="K14" s="54"/>
      <c r="L14" s="55">
        <f t="shared" si="1"/>
        <v>75000</v>
      </c>
      <c r="M14" s="57" t="str">
        <f t="shared" si="0"/>
        <v>这是关于“半身板甲”的描述。</v>
      </c>
    </row>
    <row r="15" s="2" customFormat="1" ht="28.5" customHeight="1" spans="2:13">
      <c r="B15" s="49">
        <v>40401</v>
      </c>
      <c r="C15" s="50" t="s">
        <v>591</v>
      </c>
      <c r="D15" s="50" t="s">
        <v>163</v>
      </c>
      <c r="E15" s="2">
        <v>14</v>
      </c>
      <c r="F15" s="2">
        <v>0</v>
      </c>
      <c r="G15" s="2"/>
      <c r="H15" s="2"/>
      <c r="I15" s="2"/>
      <c r="J15" s="54">
        <v>30</v>
      </c>
      <c r="K15" s="54"/>
      <c r="L15" s="55">
        <f t="shared" si="1"/>
        <v>3000</v>
      </c>
      <c r="M15" s="57" t="str">
        <f t="shared" si="0"/>
        <v>这是关于“环甲”的描述。</v>
      </c>
    </row>
    <row r="16" s="2" customFormat="1" ht="28.5" customHeight="1" spans="2:13">
      <c r="B16" s="49">
        <v>40402</v>
      </c>
      <c r="C16" s="50" t="s">
        <v>592</v>
      </c>
      <c r="D16" s="50" t="s">
        <v>163</v>
      </c>
      <c r="E16" s="2">
        <v>16</v>
      </c>
      <c r="F16" s="2">
        <v>13</v>
      </c>
      <c r="G16" s="2"/>
      <c r="H16" s="2"/>
      <c r="I16" s="2"/>
      <c r="J16" s="54">
        <v>75</v>
      </c>
      <c r="K16" s="54"/>
      <c r="L16" s="55">
        <f t="shared" si="1"/>
        <v>7500</v>
      </c>
      <c r="M16" s="57" t="str">
        <f t="shared" si="0"/>
        <v>这是关于“链甲”的描述。</v>
      </c>
    </row>
    <row r="17" s="2" customFormat="1" ht="28.5" customHeight="1" spans="2:13">
      <c r="B17" s="49">
        <v>40403</v>
      </c>
      <c r="C17" s="50" t="s">
        <v>593</v>
      </c>
      <c r="D17" s="50" t="s">
        <v>163</v>
      </c>
      <c r="E17" s="2">
        <v>17</v>
      </c>
      <c r="F17" s="2">
        <v>15</v>
      </c>
      <c r="G17" s="2"/>
      <c r="H17" s="2"/>
      <c r="I17" s="2"/>
      <c r="J17" s="54">
        <v>200</v>
      </c>
      <c r="K17" s="54"/>
      <c r="L17" s="55">
        <f t="shared" si="1"/>
        <v>20000</v>
      </c>
      <c r="M17" s="57" t="str">
        <f t="shared" si="0"/>
        <v>这是关于“板条甲”的描述。</v>
      </c>
    </row>
    <row r="18" s="2" customFormat="1" ht="28.5" customHeight="1" spans="2:13">
      <c r="B18" s="49">
        <v>40404</v>
      </c>
      <c r="C18" s="50" t="s">
        <v>594</v>
      </c>
      <c r="D18" s="50" t="s">
        <v>163</v>
      </c>
      <c r="E18" s="2">
        <v>18</v>
      </c>
      <c r="F18" s="2">
        <v>15</v>
      </c>
      <c r="G18" s="2"/>
      <c r="H18" s="2"/>
      <c r="I18" s="2"/>
      <c r="J18" s="54">
        <v>1500</v>
      </c>
      <c r="K18" s="54"/>
      <c r="L18" s="55">
        <f t="shared" si="1"/>
        <v>150000</v>
      </c>
      <c r="M18" s="57" t="str">
        <f t="shared" ref="M18:M45" si="2">"这是关于“"&amp;C18&amp;"”的描述。"</f>
        <v>这是关于“板甲”的描述。</v>
      </c>
    </row>
    <row r="19" s="2" customFormat="1" ht="28.5" customHeight="1" spans="2:13">
      <c r="B19" s="47">
        <v>40501</v>
      </c>
      <c r="C19" s="48" t="s">
        <v>255</v>
      </c>
      <c r="D19" s="48" t="s">
        <v>167</v>
      </c>
      <c r="E19" s="2">
        <v>2</v>
      </c>
      <c r="F19" s="2"/>
      <c r="G19" s="2"/>
      <c r="H19" s="2"/>
      <c r="I19" s="2"/>
      <c r="J19" s="54">
        <v>10</v>
      </c>
      <c r="K19" s="54"/>
      <c r="L19" s="55">
        <f t="shared" si="1"/>
        <v>1000</v>
      </c>
      <c r="M19" s="57" t="str">
        <f t="shared" si="2"/>
        <v>这是关于“盾牌”的描述。</v>
      </c>
    </row>
    <row r="20" s="2" customFormat="1" ht="28.5" customHeight="1" spans="2:13">
      <c r="B20" s="49">
        <v>40601</v>
      </c>
      <c r="C20" s="51" t="s">
        <v>257</v>
      </c>
      <c r="D20" s="50" t="s">
        <v>150</v>
      </c>
      <c r="E20" s="2" t="s">
        <v>257</v>
      </c>
      <c r="F20" s="2"/>
      <c r="G20" s="2"/>
      <c r="H20" s="2">
        <v>1</v>
      </c>
      <c r="I20" s="2"/>
      <c r="J20" s="2"/>
      <c r="K20" s="54"/>
      <c r="L20" s="55">
        <f t="shared" si="1"/>
        <v>10</v>
      </c>
      <c r="M20" s="57" t="str">
        <f t="shared" si="2"/>
        <v>这是关于“短棒”的描述。</v>
      </c>
    </row>
    <row r="21" s="2" customFormat="1" ht="28.5" customHeight="1" spans="2:13">
      <c r="B21" s="47">
        <v>40701</v>
      </c>
      <c r="C21" s="52" t="s">
        <v>259</v>
      </c>
      <c r="D21" s="48" t="s">
        <v>150</v>
      </c>
      <c r="E21" s="2" t="s">
        <v>259</v>
      </c>
      <c r="F21" s="2"/>
      <c r="G21" s="2"/>
      <c r="H21" s="2"/>
      <c r="I21" s="2"/>
      <c r="J21" s="2">
        <v>2</v>
      </c>
      <c r="K21" s="54"/>
      <c r="L21" s="55">
        <f t="shared" si="1"/>
        <v>200</v>
      </c>
      <c r="M21" s="57" t="str">
        <f t="shared" si="2"/>
        <v>这是关于“匕首”的描述。</v>
      </c>
    </row>
    <row r="22" s="2" customFormat="1" ht="28.5" customHeight="1" spans="2:13">
      <c r="B22" s="49">
        <v>40801</v>
      </c>
      <c r="C22" s="51" t="s">
        <v>261</v>
      </c>
      <c r="D22" s="50" t="s">
        <v>150</v>
      </c>
      <c r="E22" s="2" t="s">
        <v>261</v>
      </c>
      <c r="F22" s="2"/>
      <c r="G22" s="2"/>
      <c r="H22" s="2">
        <v>2</v>
      </c>
      <c r="I22" s="2"/>
      <c r="J22" s="2"/>
      <c r="K22" s="54"/>
      <c r="L22" s="55">
        <f t="shared" si="1"/>
        <v>20</v>
      </c>
      <c r="M22" s="57" t="str">
        <f t="shared" si="2"/>
        <v>这是关于“巨棒”的描述。</v>
      </c>
    </row>
    <row r="23" s="2" customFormat="1" ht="28.5" customHeight="1" spans="2:13">
      <c r="B23" s="47">
        <v>40901</v>
      </c>
      <c r="C23" s="52" t="s">
        <v>263</v>
      </c>
      <c r="D23" s="48" t="s">
        <v>150</v>
      </c>
      <c r="E23" s="2" t="s">
        <v>263</v>
      </c>
      <c r="F23" s="2"/>
      <c r="G23" s="2"/>
      <c r="H23" s="2"/>
      <c r="I23" s="2"/>
      <c r="J23" s="2">
        <v>5</v>
      </c>
      <c r="K23" s="54"/>
      <c r="L23" s="55">
        <f t="shared" si="1"/>
        <v>500</v>
      </c>
      <c r="M23" s="57" t="str">
        <f t="shared" si="2"/>
        <v>这是关于“手斧”的描述。</v>
      </c>
    </row>
    <row r="24" s="2" customFormat="1" ht="28.5" customHeight="1" spans="2:13">
      <c r="B24" s="49">
        <v>41001</v>
      </c>
      <c r="C24" s="51" t="s">
        <v>265</v>
      </c>
      <c r="D24" s="50" t="s">
        <v>150</v>
      </c>
      <c r="E24" s="2" t="s">
        <v>265</v>
      </c>
      <c r="F24" s="2"/>
      <c r="G24" s="2"/>
      <c r="H24" s="2">
        <v>5</v>
      </c>
      <c r="I24" s="2"/>
      <c r="J24" s="2"/>
      <c r="K24" s="54"/>
      <c r="L24" s="55">
        <f t="shared" si="1"/>
        <v>50</v>
      </c>
      <c r="M24" s="57" t="str">
        <f t="shared" si="2"/>
        <v>这是关于“标枪”的描述。</v>
      </c>
    </row>
    <row r="25" s="2" customFormat="1" ht="28.5" customHeight="1" spans="2:13">
      <c r="B25" s="47">
        <v>41101</v>
      </c>
      <c r="C25" s="52" t="s">
        <v>267</v>
      </c>
      <c r="D25" s="48" t="s">
        <v>150</v>
      </c>
      <c r="E25" s="2" t="s">
        <v>267</v>
      </c>
      <c r="F25" s="2"/>
      <c r="G25" s="2"/>
      <c r="H25" s="2">
        <v>2</v>
      </c>
      <c r="I25" s="2"/>
      <c r="J25" s="2"/>
      <c r="K25" s="54"/>
      <c r="L25" s="55">
        <f t="shared" si="1"/>
        <v>20</v>
      </c>
      <c r="M25" s="57" t="str">
        <f t="shared" si="2"/>
        <v>这是关于“长棍”的描述。</v>
      </c>
    </row>
    <row r="26" s="2" customFormat="1" ht="28.5" customHeight="1" spans="2:13">
      <c r="B26" s="49">
        <v>41201</v>
      </c>
      <c r="C26" s="51" t="s">
        <v>269</v>
      </c>
      <c r="D26" s="50" t="s">
        <v>150</v>
      </c>
      <c r="E26" s="2" t="s">
        <v>269</v>
      </c>
      <c r="F26" s="2"/>
      <c r="G26" s="2"/>
      <c r="H26" s="2"/>
      <c r="I26" s="2"/>
      <c r="J26" s="2">
        <v>1</v>
      </c>
      <c r="K26" s="54"/>
      <c r="L26" s="55">
        <f t="shared" si="1"/>
        <v>100</v>
      </c>
      <c r="M26" s="57" t="str">
        <f t="shared" si="2"/>
        <v>这是关于“镰刀”的描述。</v>
      </c>
    </row>
    <row r="27" s="2" customFormat="1" ht="28.5" customHeight="1" spans="2:13">
      <c r="B27" s="47">
        <v>41301</v>
      </c>
      <c r="C27" s="52" t="s">
        <v>271</v>
      </c>
      <c r="D27" s="48" t="s">
        <v>150</v>
      </c>
      <c r="E27" s="2" t="s">
        <v>271</v>
      </c>
      <c r="F27" s="2"/>
      <c r="G27" s="2"/>
      <c r="H27" s="2"/>
      <c r="I27" s="2"/>
      <c r="J27" s="2">
        <v>1</v>
      </c>
      <c r="K27" s="54"/>
      <c r="L27" s="55">
        <f t="shared" si="1"/>
        <v>100</v>
      </c>
      <c r="M27" s="57" t="str">
        <f t="shared" si="2"/>
        <v>这是关于“矛”的描述。</v>
      </c>
    </row>
    <row r="28" s="2" customFormat="1" ht="28.5" customHeight="1" spans="2:13">
      <c r="B28" s="49">
        <v>41401</v>
      </c>
      <c r="C28" s="51" t="s">
        <v>273</v>
      </c>
      <c r="D28" s="50" t="s">
        <v>150</v>
      </c>
      <c r="E28" s="2" t="s">
        <v>273</v>
      </c>
      <c r="F28" s="2"/>
      <c r="G28" s="2"/>
      <c r="H28" s="2"/>
      <c r="I28" s="2"/>
      <c r="J28" s="2">
        <v>25</v>
      </c>
      <c r="K28" s="54"/>
      <c r="L28" s="55">
        <f t="shared" si="1"/>
        <v>2500</v>
      </c>
      <c r="M28" s="57" t="str">
        <f t="shared" si="2"/>
        <v>这是关于“轻弩”的描述。</v>
      </c>
    </row>
    <row r="29" s="2" customFormat="1" ht="28.5" customHeight="1" spans="2:13">
      <c r="B29" s="47">
        <v>41501</v>
      </c>
      <c r="C29" s="52" t="s">
        <v>275</v>
      </c>
      <c r="D29" s="48" t="s">
        <v>150</v>
      </c>
      <c r="E29" s="2" t="s">
        <v>275</v>
      </c>
      <c r="F29" s="2"/>
      <c r="G29" s="2">
        <v>5</v>
      </c>
      <c r="H29" s="2"/>
      <c r="I29" s="2"/>
      <c r="J29" s="2"/>
      <c r="K29" s="54"/>
      <c r="L29" s="55">
        <f t="shared" si="1"/>
        <v>5</v>
      </c>
      <c r="M29" s="57" t="str">
        <f t="shared" si="2"/>
        <v>这是关于“飞镖”的描述。</v>
      </c>
    </row>
    <row r="30" s="2" customFormat="1" ht="28.5" customHeight="1" spans="2:13">
      <c r="B30" s="49">
        <v>41601</v>
      </c>
      <c r="C30" s="51" t="s">
        <v>277</v>
      </c>
      <c r="D30" s="50" t="s">
        <v>150</v>
      </c>
      <c r="E30" s="2" t="s">
        <v>277</v>
      </c>
      <c r="F30" s="2"/>
      <c r="G30" s="2"/>
      <c r="H30" s="2"/>
      <c r="I30" s="2"/>
      <c r="J30" s="2">
        <v>25</v>
      </c>
      <c r="K30" s="54"/>
      <c r="L30" s="55">
        <f t="shared" ref="L30:L45" si="3">G30+10*H30+50*I30+100*J30+1000*K30</f>
        <v>2500</v>
      </c>
      <c r="M30" s="57" t="str">
        <f t="shared" si="2"/>
        <v>这是关于“短弓”的描述。</v>
      </c>
    </row>
    <row r="31" s="2" customFormat="1" ht="28.5" customHeight="1" spans="2:13">
      <c r="B31" s="47">
        <v>41701</v>
      </c>
      <c r="C31" s="52" t="s">
        <v>279</v>
      </c>
      <c r="D31" s="48" t="s">
        <v>150</v>
      </c>
      <c r="E31" s="2" t="s">
        <v>279</v>
      </c>
      <c r="F31" s="2"/>
      <c r="G31" s="2"/>
      <c r="H31" s="2"/>
      <c r="I31" s="2"/>
      <c r="J31" s="2">
        <v>10</v>
      </c>
      <c r="K31" s="54"/>
      <c r="L31" s="55">
        <f t="shared" si="3"/>
        <v>1000</v>
      </c>
      <c r="M31" s="57" t="str">
        <f t="shared" si="2"/>
        <v>这是关于“战斧”的描述。</v>
      </c>
    </row>
    <row r="32" s="2" customFormat="1" ht="28.5" customHeight="1" spans="2:17">
      <c r="B32" s="49">
        <v>41801</v>
      </c>
      <c r="C32" s="51" t="s">
        <v>281</v>
      </c>
      <c r="D32" s="50" t="s">
        <v>150</v>
      </c>
      <c r="E32" s="2" t="s">
        <v>281</v>
      </c>
      <c r="F32" s="2"/>
      <c r="G32" s="2"/>
      <c r="H32" s="2"/>
      <c r="I32" s="2"/>
      <c r="J32" s="2">
        <v>10</v>
      </c>
      <c r="K32" s="54"/>
      <c r="L32" s="55">
        <f t="shared" si="3"/>
        <v>1000</v>
      </c>
      <c r="M32" s="57" t="str">
        <f t="shared" si="2"/>
        <v>这是关于“链枷”的描述。</v>
      </c>
      <c r="Q32" s="57"/>
    </row>
    <row r="33" s="2" customFormat="1" ht="28.5" customHeight="1" spans="2:17">
      <c r="B33" s="47">
        <v>41901</v>
      </c>
      <c r="C33" s="52" t="s">
        <v>283</v>
      </c>
      <c r="D33" s="48" t="s">
        <v>150</v>
      </c>
      <c r="E33" s="2" t="s">
        <v>283</v>
      </c>
      <c r="F33" s="2"/>
      <c r="G33" s="2"/>
      <c r="H33" s="2"/>
      <c r="I33" s="2"/>
      <c r="J33" s="2">
        <v>30</v>
      </c>
      <c r="K33" s="54"/>
      <c r="L33" s="55">
        <f t="shared" si="3"/>
        <v>3000</v>
      </c>
      <c r="M33" s="57" t="str">
        <f t="shared" si="2"/>
        <v>这是关于“巨斧”的描述。</v>
      </c>
      <c r="Q33" s="54"/>
    </row>
    <row r="34" s="2" customFormat="1" ht="28.5" customHeight="1" spans="2:17">
      <c r="B34" s="49">
        <v>42001</v>
      </c>
      <c r="C34" s="51" t="s">
        <v>285</v>
      </c>
      <c r="D34" s="50" t="s">
        <v>150</v>
      </c>
      <c r="E34" s="2" t="s">
        <v>285</v>
      </c>
      <c r="F34" s="2"/>
      <c r="G34" s="2"/>
      <c r="H34" s="2"/>
      <c r="I34" s="2"/>
      <c r="J34" s="2">
        <v>50</v>
      </c>
      <c r="K34" s="54"/>
      <c r="L34" s="55">
        <f t="shared" si="3"/>
        <v>5000</v>
      </c>
      <c r="M34" s="57" t="str">
        <f t="shared" si="2"/>
        <v>这是关于“巨剑”的描述。</v>
      </c>
      <c r="Q34" s="54"/>
    </row>
    <row r="35" s="2" customFormat="1" ht="28.5" customHeight="1" spans="2:13">
      <c r="B35" s="47">
        <v>42101</v>
      </c>
      <c r="C35" s="52" t="s">
        <v>287</v>
      </c>
      <c r="D35" s="48" t="s">
        <v>150</v>
      </c>
      <c r="E35" s="2" t="s">
        <v>287</v>
      </c>
      <c r="F35" s="2"/>
      <c r="G35" s="2"/>
      <c r="H35" s="2"/>
      <c r="I35" s="2"/>
      <c r="J35" s="2">
        <v>15</v>
      </c>
      <c r="K35" s="54"/>
      <c r="L35" s="55">
        <f t="shared" si="3"/>
        <v>1500</v>
      </c>
      <c r="M35" s="57" t="str">
        <f t="shared" si="2"/>
        <v>这是关于“长剑”的描述。</v>
      </c>
    </row>
    <row r="36" s="2" customFormat="1" ht="28.5" customHeight="1" spans="2:13">
      <c r="B36" s="49">
        <v>42201</v>
      </c>
      <c r="C36" s="51" t="s">
        <v>289</v>
      </c>
      <c r="D36" s="50" t="s">
        <v>150</v>
      </c>
      <c r="E36" s="2" t="s">
        <v>289</v>
      </c>
      <c r="F36" s="2"/>
      <c r="G36" s="2"/>
      <c r="H36" s="2"/>
      <c r="I36" s="2"/>
      <c r="J36" s="2">
        <v>10</v>
      </c>
      <c r="K36" s="54"/>
      <c r="L36" s="55">
        <f t="shared" si="3"/>
        <v>1000</v>
      </c>
      <c r="M36" s="57" t="str">
        <f t="shared" si="2"/>
        <v>这是关于“巨锤”的描述。</v>
      </c>
    </row>
    <row r="37" s="2" customFormat="1" ht="28.5" customHeight="1" spans="2:13">
      <c r="B37" s="47">
        <v>42301</v>
      </c>
      <c r="C37" s="52" t="s">
        <v>291</v>
      </c>
      <c r="D37" s="48" t="s">
        <v>150</v>
      </c>
      <c r="E37" s="2" t="s">
        <v>291</v>
      </c>
      <c r="F37" s="2"/>
      <c r="G37" s="2"/>
      <c r="H37" s="2"/>
      <c r="I37" s="2"/>
      <c r="J37" s="2">
        <v>5</v>
      </c>
      <c r="K37" s="54"/>
      <c r="L37" s="55">
        <f t="shared" si="3"/>
        <v>500</v>
      </c>
      <c r="M37" s="57" t="str">
        <f t="shared" si="2"/>
        <v>这是关于“长矛”的描述。</v>
      </c>
    </row>
    <row r="38" s="2" customFormat="1" ht="28.5" customHeight="1" spans="2:13">
      <c r="B38" s="49">
        <v>42401</v>
      </c>
      <c r="C38" s="51" t="s">
        <v>293</v>
      </c>
      <c r="D38" s="50" t="s">
        <v>150</v>
      </c>
      <c r="E38" s="2" t="s">
        <v>293</v>
      </c>
      <c r="F38" s="2"/>
      <c r="G38" s="2"/>
      <c r="H38" s="2"/>
      <c r="I38" s="2"/>
      <c r="J38" s="2">
        <v>25</v>
      </c>
      <c r="K38" s="54"/>
      <c r="L38" s="55">
        <f t="shared" si="3"/>
        <v>2500</v>
      </c>
      <c r="M38" s="57" t="str">
        <f t="shared" si="2"/>
        <v>这是关于“刺剑”的描述。</v>
      </c>
    </row>
    <row r="39" s="2" customFormat="1" ht="28.5" customHeight="1" spans="2:13">
      <c r="B39" s="47">
        <v>42501</v>
      </c>
      <c r="C39" s="52" t="s">
        <v>295</v>
      </c>
      <c r="D39" s="48" t="s">
        <v>150</v>
      </c>
      <c r="E39" s="2" t="s">
        <v>295</v>
      </c>
      <c r="F39" s="2"/>
      <c r="G39" s="2"/>
      <c r="H39" s="2"/>
      <c r="I39" s="2"/>
      <c r="J39" s="2">
        <v>25</v>
      </c>
      <c r="K39" s="54"/>
      <c r="L39" s="55">
        <f t="shared" si="3"/>
        <v>2500</v>
      </c>
      <c r="M39" s="57" t="str">
        <f t="shared" si="2"/>
        <v>这是关于“弯刀”的描述。</v>
      </c>
    </row>
    <row r="40" ht="28.5" customHeight="1" spans="2:13">
      <c r="B40" s="49">
        <v>42601</v>
      </c>
      <c r="C40" s="51" t="s">
        <v>297</v>
      </c>
      <c r="D40" s="50" t="s">
        <v>150</v>
      </c>
      <c r="E40" s="2" t="s">
        <v>297</v>
      </c>
      <c r="F40" s="2"/>
      <c r="J40" s="2">
        <v>10</v>
      </c>
      <c r="K40" s="59"/>
      <c r="L40" s="55">
        <f t="shared" si="3"/>
        <v>1000</v>
      </c>
      <c r="M40" s="57" t="str">
        <f t="shared" si="2"/>
        <v>这是关于“短剑”的描述。</v>
      </c>
    </row>
    <row r="41" ht="28.5" customHeight="1" spans="2:13">
      <c r="B41" s="47">
        <v>42701</v>
      </c>
      <c r="C41" s="52" t="s">
        <v>299</v>
      </c>
      <c r="D41" s="48" t="s">
        <v>150</v>
      </c>
      <c r="E41" s="2" t="s">
        <v>299</v>
      </c>
      <c r="F41" s="2"/>
      <c r="J41" s="2">
        <v>15</v>
      </c>
      <c r="K41" s="59"/>
      <c r="L41" s="55">
        <f t="shared" si="3"/>
        <v>1500</v>
      </c>
      <c r="M41" s="57" t="str">
        <f t="shared" si="2"/>
        <v>这是关于“战锤”的描述。</v>
      </c>
    </row>
    <row r="42" ht="28.5" customHeight="1" spans="2:13">
      <c r="B42" s="47">
        <v>42702</v>
      </c>
      <c r="C42" s="48" t="s">
        <v>595</v>
      </c>
      <c r="D42" s="48" t="s">
        <v>150</v>
      </c>
      <c r="E42" s="2" t="s">
        <v>299</v>
      </c>
      <c r="F42" s="2"/>
      <c r="J42" s="2">
        <v>30</v>
      </c>
      <c r="K42" s="59"/>
      <c r="L42" s="55">
        <f t="shared" si="3"/>
        <v>3000</v>
      </c>
      <c r="M42" s="57" t="str">
        <f t="shared" si="2"/>
        <v>这是关于“辉黯”的描述。</v>
      </c>
    </row>
    <row r="43" ht="28.5" customHeight="1" spans="2:13">
      <c r="B43" s="49">
        <v>42801</v>
      </c>
      <c r="C43" s="51" t="s">
        <v>301</v>
      </c>
      <c r="D43" s="50" t="s">
        <v>150</v>
      </c>
      <c r="E43" s="2" t="s">
        <v>301</v>
      </c>
      <c r="F43" s="2"/>
      <c r="J43" s="2">
        <v>75</v>
      </c>
      <c r="K43" s="59"/>
      <c r="L43" s="55">
        <f t="shared" si="3"/>
        <v>7500</v>
      </c>
      <c r="M43" s="57" t="str">
        <f t="shared" si="2"/>
        <v>这是关于“手弩”的描述。</v>
      </c>
    </row>
    <row r="44" ht="28.5" customHeight="1" spans="2:13">
      <c r="B44" s="47">
        <v>42901</v>
      </c>
      <c r="C44" s="52" t="s">
        <v>303</v>
      </c>
      <c r="D44" s="48" t="s">
        <v>150</v>
      </c>
      <c r="E44" s="2" t="s">
        <v>303</v>
      </c>
      <c r="F44" s="2"/>
      <c r="J44" s="2">
        <v>50</v>
      </c>
      <c r="K44" s="59"/>
      <c r="L44" s="55">
        <f t="shared" si="3"/>
        <v>5000</v>
      </c>
      <c r="M44" s="57" t="str">
        <f t="shared" si="2"/>
        <v>这是关于“重弩”的描述。</v>
      </c>
    </row>
    <row r="45" ht="28.5" customHeight="1" spans="2:13">
      <c r="B45" s="49">
        <v>43001</v>
      </c>
      <c r="C45" s="51" t="s">
        <v>305</v>
      </c>
      <c r="D45" s="50" t="s">
        <v>150</v>
      </c>
      <c r="E45" s="2" t="s">
        <v>305</v>
      </c>
      <c r="F45" s="2"/>
      <c r="J45" s="2">
        <v>50</v>
      </c>
      <c r="K45" s="59"/>
      <c r="L45" s="55">
        <f t="shared" si="3"/>
        <v>5000</v>
      </c>
      <c r="M45" s="57" t="str">
        <f t="shared" si="2"/>
        <v>这是关于“长弓”的描述。</v>
      </c>
    </row>
    <row r="46" spans="8:13">
      <c r="H46" s="58"/>
      <c r="I46" s="58"/>
      <c r="J46" s="58"/>
      <c r="K46" s="59"/>
      <c r="L46" s="60"/>
      <c r="M46" s="61"/>
    </row>
    <row r="47" spans="8:13">
      <c r="H47" s="58"/>
      <c r="I47" s="58"/>
      <c r="J47" s="58"/>
      <c r="K47" s="59"/>
      <c r="L47" s="60"/>
      <c r="M47" s="61"/>
    </row>
    <row r="48" spans="8:13">
      <c r="H48" s="58"/>
      <c r="I48" s="58"/>
      <c r="J48" s="58"/>
      <c r="K48" s="59"/>
      <c r="L48" s="60"/>
      <c r="M48" s="61"/>
    </row>
    <row r="49" spans="8:13">
      <c r="H49" s="58"/>
      <c r="I49" s="58"/>
      <c r="J49" s="58"/>
      <c r="K49" s="59"/>
      <c r="L49" s="60"/>
      <c r="M49" s="61"/>
    </row>
    <row r="50" spans="8:13">
      <c r="H50" s="58"/>
      <c r="I50" s="58"/>
      <c r="J50" s="58"/>
      <c r="K50" s="59"/>
      <c r="L50" s="60"/>
      <c r="M50" s="61"/>
    </row>
    <row r="51" spans="8:13">
      <c r="H51" s="58"/>
      <c r="I51" s="58"/>
      <c r="J51" s="58"/>
      <c r="K51" s="59"/>
      <c r="L51" s="60"/>
      <c r="M51" s="61"/>
    </row>
    <row r="52" spans="8:13">
      <c r="H52" s="58"/>
      <c r="I52" s="58"/>
      <c r="J52" s="58"/>
      <c r="K52" s="59"/>
      <c r="L52" s="60"/>
      <c r="M52" s="61"/>
    </row>
    <row r="53" spans="8:13">
      <c r="H53" s="58"/>
      <c r="I53" s="58"/>
      <c r="J53" s="58"/>
      <c r="K53" s="59"/>
      <c r="L53" s="60"/>
      <c r="M53" s="61"/>
    </row>
    <row r="54" spans="8:13">
      <c r="H54" s="58"/>
      <c r="I54" s="58"/>
      <c r="J54" s="58"/>
      <c r="K54" s="59"/>
      <c r="L54" s="60"/>
      <c r="M54" s="61"/>
    </row>
    <row r="55" spans="8:13">
      <c r="H55" s="58"/>
      <c r="I55" s="58"/>
      <c r="J55" s="58"/>
      <c r="K55" s="59"/>
      <c r="L55" s="60"/>
      <c r="M55" s="61"/>
    </row>
    <row r="56" spans="8:13">
      <c r="H56" s="58"/>
      <c r="I56" s="58"/>
      <c r="J56" s="58"/>
      <c r="K56" s="59"/>
      <c r="L56" s="60"/>
      <c r="M56" s="61"/>
    </row>
    <row r="57" spans="8:13">
      <c r="H57" s="58"/>
      <c r="I57" s="58"/>
      <c r="J57" s="58"/>
      <c r="K57" s="59"/>
      <c r="L57" s="60"/>
      <c r="M57" s="61"/>
    </row>
    <row r="58" spans="8:13">
      <c r="H58" s="58"/>
      <c r="I58" s="58"/>
      <c r="J58" s="58"/>
      <c r="K58" s="59"/>
      <c r="L58" s="60"/>
      <c r="M58" s="61"/>
    </row>
    <row r="59" spans="8:13">
      <c r="H59" s="58"/>
      <c r="I59" s="58"/>
      <c r="J59" s="58"/>
      <c r="K59" s="59"/>
      <c r="L59" s="60"/>
      <c r="M59" s="61"/>
    </row>
    <row r="60" spans="8:13">
      <c r="H60" s="58"/>
      <c r="I60" s="58"/>
      <c r="J60" s="58"/>
      <c r="K60" s="59"/>
      <c r="L60" s="60"/>
      <c r="M60" s="61"/>
    </row>
    <row r="61" spans="8:13">
      <c r="H61" s="58"/>
      <c r="I61" s="58"/>
      <c r="J61" s="58"/>
      <c r="K61" s="59"/>
      <c r="L61" s="60"/>
      <c r="M61" s="61"/>
    </row>
    <row r="62" spans="8:13">
      <c r="H62" s="58"/>
      <c r="I62" s="58"/>
      <c r="J62" s="58"/>
      <c r="K62" s="59"/>
      <c r="L62" s="60"/>
      <c r="M62" s="61"/>
    </row>
    <row r="63" spans="8:13">
      <c r="H63" s="58"/>
      <c r="I63" s="58"/>
      <c r="J63" s="58"/>
      <c r="K63" s="59"/>
      <c r="L63" s="60"/>
      <c r="M63" s="61"/>
    </row>
    <row r="64" spans="8:13">
      <c r="H64" s="58"/>
      <c r="I64" s="58"/>
      <c r="J64" s="58"/>
      <c r="K64" s="59"/>
      <c r="L64" s="60"/>
      <c r="M64" s="61"/>
    </row>
    <row r="65" spans="8:13">
      <c r="H65" s="58"/>
      <c r="I65" s="58"/>
      <c r="J65" s="58"/>
      <c r="K65" s="59"/>
      <c r="L65" s="60"/>
      <c r="M65" s="61"/>
    </row>
    <row r="66" spans="8:13">
      <c r="H66" s="58"/>
      <c r="I66" s="58"/>
      <c r="J66" s="58"/>
      <c r="K66" s="59"/>
      <c r="L66" s="60"/>
      <c r="M66" s="61"/>
    </row>
    <row r="67" spans="8:13">
      <c r="H67" s="58"/>
      <c r="I67" s="58"/>
      <c r="J67" s="58"/>
      <c r="K67" s="59"/>
      <c r="L67" s="60"/>
      <c r="M67" s="61"/>
    </row>
    <row r="68" spans="8:13">
      <c r="H68" s="58"/>
      <c r="I68" s="58"/>
      <c r="J68" s="58"/>
      <c r="K68" s="59"/>
      <c r="L68" s="60"/>
      <c r="M68" s="61"/>
    </row>
    <row r="69" spans="8:13">
      <c r="H69" s="58"/>
      <c r="I69" s="58"/>
      <c r="J69" s="58"/>
      <c r="K69" s="59"/>
      <c r="L69" s="60"/>
      <c r="M69" s="61"/>
    </row>
    <row r="70" spans="8:13">
      <c r="H70" s="58"/>
      <c r="I70" s="58"/>
      <c r="J70" s="58"/>
      <c r="K70" s="59"/>
      <c r="L70" s="60"/>
      <c r="M70" s="61"/>
    </row>
    <row r="71" spans="8:13">
      <c r="H71" s="58"/>
      <c r="I71" s="58"/>
      <c r="J71" s="58"/>
      <c r="K71" s="59"/>
      <c r="L71" s="60"/>
      <c r="M71" s="61"/>
    </row>
    <row r="72" spans="8:13">
      <c r="H72" s="58"/>
      <c r="I72" s="58"/>
      <c r="J72" s="58"/>
      <c r="K72" s="59"/>
      <c r="L72" s="60"/>
      <c r="M72" s="61"/>
    </row>
    <row r="73" spans="8:13">
      <c r="H73" s="58"/>
      <c r="I73" s="58"/>
      <c r="J73" s="58"/>
      <c r="K73" s="59"/>
      <c r="L73" s="60"/>
      <c r="M73" s="61"/>
    </row>
    <row r="74" spans="8:13">
      <c r="H74" s="58"/>
      <c r="I74" s="58"/>
      <c r="J74" s="58"/>
      <c r="K74" s="59"/>
      <c r="L74" s="60"/>
      <c r="M74" s="61"/>
    </row>
    <row r="75" spans="8:13">
      <c r="H75" s="58"/>
      <c r="I75" s="58"/>
      <c r="J75" s="58"/>
      <c r="K75" s="59"/>
      <c r="L75" s="60"/>
      <c r="M75" s="61"/>
    </row>
    <row r="76" spans="8:13">
      <c r="H76" s="58"/>
      <c r="I76" s="58"/>
      <c r="J76" s="58"/>
      <c r="K76" s="59"/>
      <c r="L76" s="60"/>
      <c r="M76" s="61"/>
    </row>
    <row r="77" spans="8:13">
      <c r="H77" s="58"/>
      <c r="I77" s="58"/>
      <c r="J77" s="58"/>
      <c r="K77" s="59"/>
      <c r="L77" s="60"/>
      <c r="M77" s="61"/>
    </row>
  </sheetData>
  <sheetProtection formatCells="0" formatColumns="0" formatRows="0" insertRows="0" insertColumns="0" insertHyperlinks="0" deleteColumns="0" deleteRows="0" sort="0" autoFilter="0" pivotTables="0"/>
  <mergeCells count="3">
    <mergeCell ref="D1:F1"/>
    <mergeCell ref="D2:F2"/>
    <mergeCell ref="G1:K4"/>
  </mergeCells>
  <dataValidations count="1">
    <dataValidation type="list" allowBlank="1" showInputMessage="1" showErrorMessage="1" sqref="P32:P34 D46:G77">
      <formula1>'##角色_下拉菜单'!$G$2:$G$34</formula1>
    </dataValidation>
  </dataValidation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5"/>
  <sheetViews>
    <sheetView topLeftCell="A6" workbookViewId="0">
      <selection activeCell="A6" sqref="$A6:$XFD6"/>
    </sheetView>
  </sheetViews>
  <sheetFormatPr defaultColWidth="9" defaultRowHeight="14.25"/>
  <cols>
    <col min="3" max="3" width="12.875" customWidth="1"/>
    <col min="4" max="5" width="8.625" customWidth="1"/>
    <col min="6" max="10" width="10.625" style="36" customWidth="1" outlineLevel="1"/>
    <col min="12" max="12" width="80.625" style="15" customWidth="1"/>
  </cols>
  <sheetData>
    <row r="1" spans="1:12">
      <c r="A1" s="28" t="s">
        <v>0</v>
      </c>
      <c r="B1" s="28" t="s">
        <v>172</v>
      </c>
      <c r="C1" s="28" t="s">
        <v>72</v>
      </c>
      <c r="D1" s="37" t="s">
        <v>569</v>
      </c>
      <c r="E1" s="37"/>
      <c r="F1" s="39" t="s">
        <v>570</v>
      </c>
      <c r="G1" s="39"/>
      <c r="H1" s="39"/>
      <c r="I1" s="39"/>
      <c r="J1" s="42"/>
      <c r="K1" s="41" t="s">
        <v>571</v>
      </c>
      <c r="L1" s="41" t="s">
        <v>572</v>
      </c>
    </row>
    <row r="2" spans="1:12">
      <c r="A2" s="28" t="s">
        <v>392</v>
      </c>
      <c r="B2" s="28" t="s">
        <v>85</v>
      </c>
      <c r="C2" s="28" t="s">
        <v>393</v>
      </c>
      <c r="D2" s="37" t="s">
        <v>145</v>
      </c>
      <c r="E2" s="37"/>
      <c r="F2" s="39"/>
      <c r="G2" s="40"/>
      <c r="H2" s="40"/>
      <c r="I2" s="40"/>
      <c r="J2" s="42"/>
      <c r="K2" s="41" t="s">
        <v>85</v>
      </c>
      <c r="L2" s="41" t="s">
        <v>393</v>
      </c>
    </row>
    <row r="3" spans="1:12">
      <c r="A3" s="28" t="s">
        <v>392</v>
      </c>
      <c r="B3" s="28"/>
      <c r="C3" s="28"/>
      <c r="D3" s="38" t="s">
        <v>530</v>
      </c>
      <c r="E3" s="41"/>
      <c r="F3" s="39"/>
      <c r="G3" s="40"/>
      <c r="H3" s="40"/>
      <c r="I3" s="40"/>
      <c r="J3" s="42"/>
      <c r="K3" s="41"/>
      <c r="L3" s="41"/>
    </row>
    <row r="4" spans="1:12">
      <c r="A4" s="28" t="s">
        <v>392</v>
      </c>
      <c r="B4" s="28"/>
      <c r="C4" s="28"/>
      <c r="D4" s="38"/>
      <c r="E4" s="41"/>
      <c r="F4" s="39"/>
      <c r="G4" s="39"/>
      <c r="H4" s="39"/>
      <c r="I4" s="39"/>
      <c r="J4" s="42"/>
      <c r="K4" s="41"/>
      <c r="L4" s="41"/>
    </row>
    <row r="5" customHeight="1" spans="1:12">
      <c r="A5" s="28" t="s">
        <v>12</v>
      </c>
      <c r="B5" s="28" t="s">
        <v>493</v>
      </c>
      <c r="C5" s="28" t="s">
        <v>501</v>
      </c>
      <c r="D5" s="28" t="s">
        <v>169</v>
      </c>
      <c r="E5" s="28" t="s">
        <v>574</v>
      </c>
      <c r="F5" s="40" t="s">
        <v>575</v>
      </c>
      <c r="G5" s="40" t="s">
        <v>576</v>
      </c>
      <c r="H5" s="40" t="s">
        <v>577</v>
      </c>
      <c r="I5" s="40" t="s">
        <v>578</v>
      </c>
      <c r="J5" s="42" t="s">
        <v>579</v>
      </c>
      <c r="K5" s="41" t="s">
        <v>596</v>
      </c>
      <c r="L5" s="41" t="s">
        <v>581</v>
      </c>
    </row>
    <row r="6" s="2" customFormat="1" ht="28.5" customHeight="1" spans="2:12">
      <c r="B6" s="2">
        <v>44001</v>
      </c>
      <c r="C6" s="2" t="s">
        <v>597</v>
      </c>
      <c r="D6" s="2" t="s">
        <v>169</v>
      </c>
      <c r="I6" s="2">
        <v>10</v>
      </c>
      <c r="K6" s="2">
        <f>F6+10*G6+50*H6+100*I6+1000*J6</f>
        <v>1000</v>
      </c>
      <c r="L6" s="6" t="str">
        <f>"这是关于“"&amp;C6&amp;"”的描述。"</f>
        <v>这是关于“治疗药水”的描述。</v>
      </c>
    </row>
    <row r="7" s="2" customFormat="1" ht="28.5" customHeight="1" spans="2:12">
      <c r="B7" s="2">
        <v>44002</v>
      </c>
      <c r="C7" s="2" t="s">
        <v>598</v>
      </c>
      <c r="D7" s="2" t="s">
        <v>169</v>
      </c>
      <c r="I7" s="2">
        <v>16</v>
      </c>
      <c r="K7" s="2">
        <f>F7+10*G7+50*H7+100*I7+1000*J7</f>
        <v>1600</v>
      </c>
      <c r="L7" s="6" t="str">
        <f>"这是关于“"&amp;C7&amp;"”的描述。"</f>
        <v>这是关于“高等治疗药水”的描述。</v>
      </c>
    </row>
    <row r="8" s="2" customFormat="1" ht="28.5" customHeight="1" spans="2:12">
      <c r="B8" s="2">
        <v>44003</v>
      </c>
      <c r="C8" s="2" t="s">
        <v>599</v>
      </c>
      <c r="D8" s="2" t="s">
        <v>169</v>
      </c>
      <c r="I8" s="2">
        <v>25</v>
      </c>
      <c r="K8" s="2">
        <f>F8+10*G8+50*H8+100*I8+1000*J8</f>
        <v>2500</v>
      </c>
      <c r="L8" s="6" t="str">
        <f>"这是关于“"&amp;C8&amp;"”的描述。"</f>
        <v>这是关于“特效治疗药水”的描述。</v>
      </c>
    </row>
    <row r="9" s="2" customFormat="1" ht="28.5" customHeight="1" spans="2:12">
      <c r="B9" s="2">
        <v>44004</v>
      </c>
      <c r="C9" s="2" t="s">
        <v>600</v>
      </c>
      <c r="D9" s="2" t="s">
        <v>169</v>
      </c>
      <c r="I9" s="2">
        <v>45</v>
      </c>
      <c r="K9" s="2">
        <f>F9+10*G9+50*H9+100*I9+1000*J9</f>
        <v>4500</v>
      </c>
      <c r="L9" s="6" t="str">
        <f>"这是关于“"&amp;C9&amp;"”的描述。"</f>
        <v>这是关于“极效治疗药水”的描述。</v>
      </c>
    </row>
    <row r="10" s="2" customFormat="1" ht="28.5" customHeight="1" spans="12:12">
      <c r="L10" s="6"/>
    </row>
    <row r="11" s="2" customFormat="1" ht="28.5" customHeight="1" spans="12:12">
      <c r="L11" s="6"/>
    </row>
    <row r="12" s="2" customFormat="1" ht="28.5" customHeight="1" spans="12:12">
      <c r="L12" s="6"/>
    </row>
    <row r="13" s="2" customFormat="1" ht="28.5" customHeight="1" spans="12:12">
      <c r="L13" s="6"/>
    </row>
    <row r="14" s="2" customFormat="1" ht="28.5" customHeight="1" spans="12:12">
      <c r="L14" s="6"/>
    </row>
    <row r="15" s="2" customFormat="1" ht="28.5" customHeight="1" spans="12:12">
      <c r="L15" s="6"/>
    </row>
    <row r="16" s="2" customFormat="1" ht="28.5" customHeight="1" spans="12:12">
      <c r="L16" s="6"/>
    </row>
    <row r="17" s="2" customFormat="1" ht="28.5" customHeight="1" spans="12:12">
      <c r="L17" s="6"/>
    </row>
    <row r="18" s="2" customFormat="1" ht="28.5" customHeight="1" spans="12:12">
      <c r="L18" s="6"/>
    </row>
    <row r="19" s="2" customFormat="1" ht="28.5" customHeight="1" spans="12:12">
      <c r="L19" s="6"/>
    </row>
    <row r="20" s="2" customFormat="1" ht="28.5" customHeight="1" spans="12:12">
      <c r="L20" s="6"/>
    </row>
    <row r="21" s="2" customFormat="1" ht="28.5" customHeight="1" spans="12:12">
      <c r="L21" s="6"/>
    </row>
    <row r="22" s="2" customFormat="1" ht="28.5" customHeight="1" spans="12:12">
      <c r="L22" s="6"/>
    </row>
    <row r="23" s="2" customFormat="1" ht="28.5" customHeight="1" spans="12:12">
      <c r="L23" s="6"/>
    </row>
    <row r="24" s="2" customFormat="1" ht="28.5" customHeight="1" spans="12:12">
      <c r="L24" s="6"/>
    </row>
    <row r="25" s="2" customFormat="1" ht="28.5" customHeight="1" spans="12:12">
      <c r="L25" s="6"/>
    </row>
    <row r="26" s="2" customFormat="1" ht="28.5" customHeight="1" spans="12:12">
      <c r="L26" s="6"/>
    </row>
    <row r="27" s="2" customFormat="1" ht="28.5" customHeight="1" spans="12:12">
      <c r="L27" s="6"/>
    </row>
    <row r="28" s="2" customFormat="1" ht="28.5" customHeight="1" spans="12:12">
      <c r="L28" s="6"/>
    </row>
    <row r="29" s="2" customFormat="1" ht="28.5" customHeight="1" spans="12:12">
      <c r="L29" s="6"/>
    </row>
    <row r="30" s="2" customFormat="1" ht="28.5" customHeight="1" spans="12:12">
      <c r="L30" s="6"/>
    </row>
    <row r="31" s="2" customFormat="1" ht="28.5" customHeight="1" spans="12:12">
      <c r="L31" s="6"/>
    </row>
    <row r="32" s="2" customFormat="1" ht="28.5" customHeight="1" spans="12:12">
      <c r="L32" s="6"/>
    </row>
    <row r="33" s="2" customFormat="1" ht="28.5" customHeight="1" spans="12:12">
      <c r="L33" s="6"/>
    </row>
    <row r="34" s="2" customFormat="1" ht="28.5" customHeight="1" spans="12:12">
      <c r="L34" s="6"/>
    </row>
    <row r="35" s="2" customFormat="1" ht="28.5" customHeight="1" spans="12:12">
      <c r="L35" s="6"/>
    </row>
    <row r="36" s="2" customFormat="1" ht="28.5" customHeight="1" spans="12:12">
      <c r="L36" s="6"/>
    </row>
    <row r="37" s="2" customFormat="1" ht="28.5" customHeight="1" spans="12:12">
      <c r="L37" s="6"/>
    </row>
    <row r="38" s="2" customFormat="1" ht="28.5" customHeight="1" spans="12:12">
      <c r="L38" s="6"/>
    </row>
    <row r="39" s="2" customFormat="1" ht="28.5" customHeight="1" spans="12:12">
      <c r="L39" s="6"/>
    </row>
    <row r="40" s="2" customFormat="1" ht="28.5" customHeight="1" spans="12:12">
      <c r="L40" s="6"/>
    </row>
    <row r="41" s="2" customFormat="1" ht="28.5" customHeight="1" spans="12:12">
      <c r="L41" s="6"/>
    </row>
    <row r="42" s="2" customFormat="1" ht="28.5" customHeight="1" spans="12:12">
      <c r="L42" s="6"/>
    </row>
    <row r="43" s="2" customFormat="1" ht="28.5" customHeight="1" spans="12:12">
      <c r="L43" s="6"/>
    </row>
    <row r="44" s="2" customFormat="1" ht="28.5" customHeight="1" spans="12:12">
      <c r="L44" s="6"/>
    </row>
    <row r="45" s="2" customFormat="1" ht="28.5" customHeight="1" spans="12:12">
      <c r="L45" s="6"/>
    </row>
    <row r="46" s="2" customFormat="1" ht="28.5" customHeight="1" spans="12:12">
      <c r="L46" s="6"/>
    </row>
    <row r="47" s="2" customFormat="1" ht="28.5" customHeight="1" spans="12:12">
      <c r="L47" s="6"/>
    </row>
    <row r="48" s="2" customFormat="1" ht="28.5" customHeight="1" spans="12:12">
      <c r="L48" s="6"/>
    </row>
    <row r="49" s="2" customFormat="1" ht="28.5" customHeight="1" spans="12:12">
      <c r="L49" s="6"/>
    </row>
    <row r="50" s="2" customFormat="1" ht="28.5" customHeight="1" spans="12:12">
      <c r="L50" s="6"/>
    </row>
    <row r="51" s="2" customFormat="1" ht="28.5" customHeight="1" spans="12:12">
      <c r="L51" s="6"/>
    </row>
    <row r="52" s="2" customFormat="1" ht="28.5" customHeight="1" spans="12:12">
      <c r="L52" s="6"/>
    </row>
    <row r="53" s="2" customFormat="1" ht="28.5" customHeight="1" spans="12:12">
      <c r="L53" s="6"/>
    </row>
    <row r="54" s="2" customFormat="1" ht="28.5" customHeight="1" spans="12:12">
      <c r="L54" s="6"/>
    </row>
    <row r="55" s="2" customFormat="1" ht="28.5" customHeight="1" spans="12:12">
      <c r="L55" s="6"/>
    </row>
    <row r="56" s="2" customFormat="1" ht="28.5" customHeight="1" spans="12:12">
      <c r="L56" s="6"/>
    </row>
    <row r="57" s="2" customFormat="1" ht="28.5" customHeight="1" spans="12:12">
      <c r="L57" s="6"/>
    </row>
    <row r="58" s="2" customFormat="1" ht="28.5" customHeight="1" spans="12:12">
      <c r="L58" s="6"/>
    </row>
    <row r="59" s="2" customFormat="1" ht="28.5" customHeight="1" spans="12:12">
      <c r="L59" s="6"/>
    </row>
    <row r="60" s="2" customFormat="1" ht="28.5" customHeight="1" spans="12:12">
      <c r="L60" s="6"/>
    </row>
    <row r="61" s="2" customFormat="1" ht="28.5" customHeight="1" spans="12:12">
      <c r="L61" s="6"/>
    </row>
    <row r="62" s="2" customFormat="1" ht="28.5" customHeight="1" spans="12:12">
      <c r="L62" s="6"/>
    </row>
    <row r="63" s="2" customFormat="1" ht="28.5" customHeight="1" spans="12:12">
      <c r="L63" s="6"/>
    </row>
    <row r="64" s="2" customFormat="1" ht="28.5" customHeight="1" spans="12:12">
      <c r="L64" s="6"/>
    </row>
    <row r="65" s="2" customFormat="1" ht="28.5" customHeight="1" spans="12:12">
      <c r="L65" s="6"/>
    </row>
  </sheetData>
  <sheetProtection formatCells="0" formatColumns="0" formatRows="0" insertRows="0" insertColumns="0" insertHyperlinks="0" deleteColumns="0" deleteRows="0" sort="0" autoFilter="0" pivotTables="0"/>
  <mergeCells count="3">
    <mergeCell ref="D1:E1"/>
    <mergeCell ref="D2:E2"/>
    <mergeCell ref="F1:J4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workbookViewId="0">
      <pane ySplit="1" topLeftCell="A2" activePane="bottomLeft" state="frozen"/>
      <selection/>
      <selection pane="bottomLeft" activeCell="C1" sqref="C1:V5"/>
    </sheetView>
  </sheetViews>
  <sheetFormatPr defaultColWidth="9" defaultRowHeight="14.25" outlineLevelCol="7"/>
  <cols>
    <col min="2" max="2" width="27.8166666666667" customWidth="1"/>
    <col min="4" max="4" width="8.36666666666667" customWidth="1"/>
    <col min="5" max="5" width="11.4583333333333" customWidth="1"/>
    <col min="6" max="6" width="10.8333333333333" customWidth="1"/>
    <col min="7" max="7" width="6.375" customWidth="1"/>
    <col min="8" max="8" width="27.1833333333333" customWidth="1"/>
  </cols>
  <sheetData>
    <row r="1" spans="1:8">
      <c r="A1" s="28" t="s">
        <v>0</v>
      </c>
      <c r="B1" s="28" t="s">
        <v>172</v>
      </c>
      <c r="C1" s="1" t="s">
        <v>72</v>
      </c>
      <c r="D1" s="29" t="s">
        <v>601</v>
      </c>
      <c r="E1" s="29"/>
      <c r="F1" s="4" t="s">
        <v>602</v>
      </c>
      <c r="G1" s="9" t="s">
        <v>603</v>
      </c>
      <c r="H1" s="1" t="s">
        <v>604</v>
      </c>
    </row>
    <row r="2" spans="1:8">
      <c r="A2" s="28" t="s">
        <v>392</v>
      </c>
      <c r="B2" s="28" t="s">
        <v>151</v>
      </c>
      <c r="C2" s="1" t="s">
        <v>393</v>
      </c>
      <c r="D2" s="29" t="s">
        <v>89</v>
      </c>
      <c r="E2" s="29"/>
      <c r="F2" s="4" t="s">
        <v>186</v>
      </c>
      <c r="G2" s="9" t="s">
        <v>85</v>
      </c>
      <c r="H2" s="1" t="s">
        <v>239</v>
      </c>
    </row>
    <row r="3" spans="1:8">
      <c r="A3" s="28" t="s">
        <v>392</v>
      </c>
      <c r="B3" s="28"/>
      <c r="C3" s="1"/>
      <c r="D3" s="1" t="s">
        <v>91</v>
      </c>
      <c r="E3" s="4" t="s">
        <v>93</v>
      </c>
      <c r="F3" s="1"/>
      <c r="G3" s="9"/>
      <c r="H3" s="1"/>
    </row>
    <row r="4" spans="1:8">
      <c r="A4" s="28" t="s">
        <v>12</v>
      </c>
      <c r="B4" s="28" t="s">
        <v>493</v>
      </c>
      <c r="C4" s="1" t="s">
        <v>501</v>
      </c>
      <c r="D4" s="1" t="s">
        <v>90</v>
      </c>
      <c r="E4" s="1" t="s">
        <v>79</v>
      </c>
      <c r="F4" s="4" t="s">
        <v>605</v>
      </c>
      <c r="G4" s="9" t="s">
        <v>606</v>
      </c>
      <c r="H4" s="1" t="s">
        <v>607</v>
      </c>
    </row>
    <row r="5" spans="1:8">
      <c r="A5" s="5"/>
      <c r="B5" s="30" t="s">
        <v>256</v>
      </c>
      <c r="C5" s="30" t="s">
        <v>257</v>
      </c>
      <c r="D5" s="30" t="s">
        <v>608</v>
      </c>
      <c r="E5" s="30" t="s">
        <v>234</v>
      </c>
      <c r="F5" s="30" t="s">
        <v>115</v>
      </c>
      <c r="G5" s="32">
        <v>1</v>
      </c>
      <c r="H5" s="30" t="s">
        <v>242</v>
      </c>
    </row>
    <row r="6" spans="1:8">
      <c r="A6" s="5"/>
      <c r="B6" s="30" t="s">
        <v>258</v>
      </c>
      <c r="C6" s="30" t="s">
        <v>259</v>
      </c>
      <c r="D6" s="30" t="s">
        <v>608</v>
      </c>
      <c r="E6" s="30" t="s">
        <v>236</v>
      </c>
      <c r="F6" s="30" t="s">
        <v>115</v>
      </c>
      <c r="G6" s="32">
        <v>1</v>
      </c>
      <c r="H6" s="30" t="s">
        <v>242</v>
      </c>
    </row>
    <row r="7" spans="1:8">
      <c r="A7" s="5"/>
      <c r="B7" s="30" t="s">
        <v>260</v>
      </c>
      <c r="C7" s="30" t="s">
        <v>261</v>
      </c>
      <c r="D7" s="30" t="s">
        <v>609</v>
      </c>
      <c r="E7" s="30" t="s">
        <v>234</v>
      </c>
      <c r="F7" s="30" t="s">
        <v>113</v>
      </c>
      <c r="G7" s="32">
        <v>1</v>
      </c>
      <c r="H7" s="30" t="s">
        <v>244</v>
      </c>
    </row>
    <row r="8" spans="1:8">
      <c r="A8" s="5"/>
      <c r="B8" s="30" t="s">
        <v>262</v>
      </c>
      <c r="C8" s="30" t="s">
        <v>263</v>
      </c>
      <c r="D8" s="30" t="s">
        <v>610</v>
      </c>
      <c r="E8" s="30" t="s">
        <v>238</v>
      </c>
      <c r="F8" s="30" t="s">
        <v>115</v>
      </c>
      <c r="G8" s="32">
        <v>1</v>
      </c>
      <c r="H8" s="30" t="s">
        <v>242</v>
      </c>
    </row>
    <row r="9" spans="1:8">
      <c r="A9" s="5"/>
      <c r="B9" s="30" t="s">
        <v>264</v>
      </c>
      <c r="C9" s="30" t="s">
        <v>265</v>
      </c>
      <c r="D9" s="30" t="s">
        <v>610</v>
      </c>
      <c r="E9" s="30" t="s">
        <v>236</v>
      </c>
      <c r="F9" s="30" t="s">
        <v>115</v>
      </c>
      <c r="G9" s="32">
        <v>1</v>
      </c>
      <c r="H9" s="30" t="s">
        <v>242</v>
      </c>
    </row>
    <row r="10" spans="1:8">
      <c r="A10" s="5"/>
      <c r="B10" s="30" t="s">
        <v>266</v>
      </c>
      <c r="C10" s="30" t="s">
        <v>267</v>
      </c>
      <c r="D10" s="30" t="s">
        <v>610</v>
      </c>
      <c r="E10" s="30" t="s">
        <v>234</v>
      </c>
      <c r="F10" s="30" t="s">
        <v>113</v>
      </c>
      <c r="G10" s="32">
        <v>1</v>
      </c>
      <c r="H10" s="30" t="s">
        <v>244</v>
      </c>
    </row>
    <row r="11" spans="1:8">
      <c r="A11" s="5"/>
      <c r="B11" s="30" t="s">
        <v>268</v>
      </c>
      <c r="C11" s="30" t="s">
        <v>269</v>
      </c>
      <c r="D11" s="30" t="s">
        <v>608</v>
      </c>
      <c r="E11" s="30" t="s">
        <v>238</v>
      </c>
      <c r="F11" s="30" t="s">
        <v>113</v>
      </c>
      <c r="G11" s="32">
        <v>1</v>
      </c>
      <c r="H11" s="30" t="s">
        <v>242</v>
      </c>
    </row>
    <row r="12" spans="1:8">
      <c r="A12" s="5"/>
      <c r="B12" s="30" t="s">
        <v>270</v>
      </c>
      <c r="C12" s="30" t="s">
        <v>271</v>
      </c>
      <c r="D12" s="30" t="s">
        <v>610</v>
      </c>
      <c r="E12" s="30" t="s">
        <v>236</v>
      </c>
      <c r="F12" s="30" t="s">
        <v>113</v>
      </c>
      <c r="G12" s="32">
        <v>1</v>
      </c>
      <c r="H12" s="30" t="s">
        <v>244</v>
      </c>
    </row>
    <row r="13" spans="2:8">
      <c r="B13" s="31" t="s">
        <v>272</v>
      </c>
      <c r="C13" s="31" t="s">
        <v>273</v>
      </c>
      <c r="D13" s="31" t="s">
        <v>609</v>
      </c>
      <c r="E13" s="31" t="s">
        <v>236</v>
      </c>
      <c r="F13" s="31" t="s">
        <v>115</v>
      </c>
      <c r="G13" s="33">
        <v>3</v>
      </c>
      <c r="H13" s="31" t="s">
        <v>242</v>
      </c>
    </row>
    <row r="14" spans="2:8">
      <c r="B14" s="31" t="s">
        <v>274</v>
      </c>
      <c r="C14" s="31" t="s">
        <v>275</v>
      </c>
      <c r="D14" s="31" t="s">
        <v>608</v>
      </c>
      <c r="E14" s="31" t="s">
        <v>236</v>
      </c>
      <c r="F14" s="31" t="s">
        <v>115</v>
      </c>
      <c r="G14" s="33">
        <v>2</v>
      </c>
      <c r="H14" s="31" t="s">
        <v>242</v>
      </c>
    </row>
    <row r="15" spans="2:8">
      <c r="B15" s="31" t="s">
        <v>276</v>
      </c>
      <c r="C15" s="31" t="s">
        <v>277</v>
      </c>
      <c r="D15" s="31" t="s">
        <v>610</v>
      </c>
      <c r="E15" s="31" t="s">
        <v>236</v>
      </c>
      <c r="F15" s="31" t="s">
        <v>115</v>
      </c>
      <c r="G15" s="33">
        <v>3</v>
      </c>
      <c r="H15" s="31" t="s">
        <v>244</v>
      </c>
    </row>
    <row r="16" spans="2:8">
      <c r="B16" s="30" t="s">
        <v>278</v>
      </c>
      <c r="C16" s="30" t="s">
        <v>279</v>
      </c>
      <c r="D16" s="30" t="s">
        <v>609</v>
      </c>
      <c r="E16" s="30" t="s">
        <v>238</v>
      </c>
      <c r="F16" s="30" t="s">
        <v>115</v>
      </c>
      <c r="G16" s="32">
        <v>1</v>
      </c>
      <c r="H16" s="30" t="s">
        <v>242</v>
      </c>
    </row>
    <row r="17" spans="2:8">
      <c r="B17" s="30" t="s">
        <v>280</v>
      </c>
      <c r="C17" s="30" t="s">
        <v>281</v>
      </c>
      <c r="D17" s="30" t="s">
        <v>611</v>
      </c>
      <c r="E17" s="30" t="s">
        <v>234</v>
      </c>
      <c r="F17" s="30" t="s">
        <v>115</v>
      </c>
      <c r="G17" s="32">
        <v>1</v>
      </c>
      <c r="H17" s="30" t="s">
        <v>242</v>
      </c>
    </row>
    <row r="18" spans="2:8">
      <c r="B18" s="30" t="s">
        <v>282</v>
      </c>
      <c r="C18" s="30" t="s">
        <v>283</v>
      </c>
      <c r="D18" s="30" t="s">
        <v>612</v>
      </c>
      <c r="E18" s="30" t="s">
        <v>238</v>
      </c>
      <c r="F18" s="30" t="s">
        <v>115</v>
      </c>
      <c r="G18" s="32">
        <v>1</v>
      </c>
      <c r="H18" s="30" t="s">
        <v>244</v>
      </c>
    </row>
    <row r="19" spans="2:8">
      <c r="B19" s="30" t="s">
        <v>284</v>
      </c>
      <c r="C19" s="30" t="s">
        <v>285</v>
      </c>
      <c r="D19" s="30" t="s">
        <v>560</v>
      </c>
      <c r="E19" s="30" t="s">
        <v>238</v>
      </c>
      <c r="F19" s="30" t="s">
        <v>113</v>
      </c>
      <c r="G19" s="32">
        <v>1</v>
      </c>
      <c r="H19" s="30" t="s">
        <v>244</v>
      </c>
    </row>
    <row r="20" spans="2:8">
      <c r="B20" s="30" t="s">
        <v>286</v>
      </c>
      <c r="C20" s="30" t="s">
        <v>287</v>
      </c>
      <c r="D20" s="30" t="s">
        <v>609</v>
      </c>
      <c r="E20" s="30" t="s">
        <v>238</v>
      </c>
      <c r="F20" s="30" t="s">
        <v>115</v>
      </c>
      <c r="G20" s="32">
        <v>1</v>
      </c>
      <c r="H20" s="30" t="s">
        <v>242</v>
      </c>
    </row>
    <row r="21" spans="2:8">
      <c r="B21" s="30" t="s">
        <v>288</v>
      </c>
      <c r="C21" s="30" t="s">
        <v>289</v>
      </c>
      <c r="D21" s="30" t="s">
        <v>560</v>
      </c>
      <c r="E21" s="30" t="s">
        <v>234</v>
      </c>
      <c r="F21" s="30" t="s">
        <v>113</v>
      </c>
      <c r="G21" s="32">
        <v>1</v>
      </c>
      <c r="H21" s="30" t="s">
        <v>244</v>
      </c>
    </row>
    <row r="22" spans="2:8">
      <c r="B22" s="30" t="s">
        <v>290</v>
      </c>
      <c r="C22" s="30" t="s">
        <v>291</v>
      </c>
      <c r="D22" s="30" t="s">
        <v>611</v>
      </c>
      <c r="E22" s="30" t="s">
        <v>236</v>
      </c>
      <c r="F22" s="30" t="s">
        <v>115</v>
      </c>
      <c r="G22" s="32">
        <v>1</v>
      </c>
      <c r="H22" s="30" t="s">
        <v>242</v>
      </c>
    </row>
    <row r="23" spans="2:8">
      <c r="B23" s="30" t="s">
        <v>292</v>
      </c>
      <c r="C23" s="30" t="s">
        <v>293</v>
      </c>
      <c r="D23" s="30" t="s">
        <v>609</v>
      </c>
      <c r="E23" s="30" t="s">
        <v>236</v>
      </c>
      <c r="F23" s="30" t="s">
        <v>115</v>
      </c>
      <c r="G23" s="32">
        <v>1</v>
      </c>
      <c r="H23" s="30" t="s">
        <v>242</v>
      </c>
    </row>
    <row r="24" spans="2:8">
      <c r="B24" s="30" t="s">
        <v>294</v>
      </c>
      <c r="C24" s="30" t="s">
        <v>295</v>
      </c>
      <c r="D24" s="30" t="s">
        <v>610</v>
      </c>
      <c r="E24" s="30" t="s">
        <v>238</v>
      </c>
      <c r="F24" s="30" t="s">
        <v>115</v>
      </c>
      <c r="G24" s="32">
        <v>1</v>
      </c>
      <c r="H24" s="30" t="s">
        <v>242</v>
      </c>
    </row>
    <row r="25" spans="2:8">
      <c r="B25" s="30" t="s">
        <v>296</v>
      </c>
      <c r="C25" s="30" t="s">
        <v>297</v>
      </c>
      <c r="D25" s="30" t="s">
        <v>610</v>
      </c>
      <c r="E25" s="30" t="s">
        <v>236</v>
      </c>
      <c r="F25" s="30" t="s">
        <v>115</v>
      </c>
      <c r="G25" s="32">
        <v>1</v>
      </c>
      <c r="H25" s="30" t="s">
        <v>242</v>
      </c>
    </row>
    <row r="26" spans="2:8">
      <c r="B26" s="30" t="s">
        <v>298</v>
      </c>
      <c r="C26" s="30" t="s">
        <v>299</v>
      </c>
      <c r="D26" s="30" t="s">
        <v>609</v>
      </c>
      <c r="E26" s="30" t="s">
        <v>234</v>
      </c>
      <c r="F26" s="30" t="s">
        <v>113</v>
      </c>
      <c r="G26" s="32">
        <v>1</v>
      </c>
      <c r="H26" s="30" t="s">
        <v>242</v>
      </c>
    </row>
    <row r="27" spans="2:8">
      <c r="B27" s="31" t="s">
        <v>300</v>
      </c>
      <c r="C27" s="31" t="s">
        <v>301</v>
      </c>
      <c r="D27" s="31" t="s">
        <v>610</v>
      </c>
      <c r="E27" s="31" t="s">
        <v>236</v>
      </c>
      <c r="F27" s="34" t="s">
        <v>115</v>
      </c>
      <c r="G27" s="33">
        <v>2</v>
      </c>
      <c r="H27" s="31" t="s">
        <v>242</v>
      </c>
    </row>
    <row r="28" spans="2:8">
      <c r="B28" s="31" t="s">
        <v>302</v>
      </c>
      <c r="C28" s="31" t="s">
        <v>303</v>
      </c>
      <c r="D28" s="31" t="s">
        <v>611</v>
      </c>
      <c r="E28" s="31" t="s">
        <v>236</v>
      </c>
      <c r="F28" s="31" t="s">
        <v>115</v>
      </c>
      <c r="G28" s="33">
        <v>5</v>
      </c>
      <c r="H28" s="31" t="s">
        <v>244</v>
      </c>
    </row>
    <row r="29" spans="2:8">
      <c r="B29" s="31" t="s">
        <v>304</v>
      </c>
      <c r="C29" s="31" t="s">
        <v>305</v>
      </c>
      <c r="D29" s="31" t="s">
        <v>609</v>
      </c>
      <c r="E29" s="31" t="s">
        <v>236</v>
      </c>
      <c r="F29" s="31" t="s">
        <v>115</v>
      </c>
      <c r="G29" s="33">
        <v>4</v>
      </c>
      <c r="H29" s="31" t="s">
        <v>244</v>
      </c>
    </row>
    <row r="30" spans="7:7">
      <c r="G30" s="35"/>
    </row>
    <row r="31" spans="7:7">
      <c r="G31" s="35"/>
    </row>
    <row r="32" spans="7:7">
      <c r="G32" s="35"/>
    </row>
    <row r="33" spans="7:7">
      <c r="G33" s="35"/>
    </row>
    <row r="34" spans="7:7">
      <c r="G34" s="35"/>
    </row>
  </sheetData>
  <sheetProtection formatCells="0" formatColumns="0" formatRows="0" insertRows="0" insertColumns="0" insertHyperlinks="0" deleteColumns="0" deleteRows="0" sort="0" autoFilter="0" pivotTables="0"/>
  <mergeCells count="2">
    <mergeCell ref="D1:E1"/>
    <mergeCell ref="D2:E2"/>
  </mergeCells>
  <dataValidations count="4">
    <dataValidation type="list" allowBlank="1" showInputMessage="1" showErrorMessage="1" sqref="D5:D29">
      <formula1>'##角色_下拉菜单'!$I$2:$I$8</formula1>
    </dataValidation>
    <dataValidation type="list" allowBlank="1" showInputMessage="1" showErrorMessage="1" sqref="E5:E29">
      <formula1>'##角色_下拉菜单'!$H$2:$H$4</formula1>
    </dataValidation>
    <dataValidation type="list" allowBlank="1" showInputMessage="1" showErrorMessage="1" sqref="F5:F29">
      <formula1>#REF!</formula1>
    </dataValidation>
    <dataValidation type="list" allowBlank="1" showInputMessage="1" showErrorMessage="1" sqref="H5:H29">
      <formula1>'##角色_下拉菜单'!$J$2:$J$4</formula1>
    </dataValidation>
  </dataValidation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opLeftCell="O1" workbookViewId="0">
      <selection activeCell="O1" sqref="O1:U4"/>
    </sheetView>
  </sheetViews>
  <sheetFormatPr defaultColWidth="9" defaultRowHeight="44" customHeight="1" outlineLevelCol="7"/>
  <cols>
    <col min="2" max="2" width="8.725" style="2"/>
    <col min="3" max="3" width="11.8166666666667" style="2" customWidth="1"/>
    <col min="4" max="4" width="79.25" style="24" customWidth="1"/>
  </cols>
  <sheetData>
    <row r="1" s="15" customFormat="1" ht="14.25" spans="1:8">
      <c r="A1" s="25" t="s">
        <v>0</v>
      </c>
      <c r="B1" s="9" t="s">
        <v>172</v>
      </c>
      <c r="C1" s="9" t="s">
        <v>72</v>
      </c>
      <c r="D1" s="26" t="s">
        <v>572</v>
      </c>
      <c r="E1" s="27"/>
      <c r="F1" s="25"/>
      <c r="G1" s="25"/>
      <c r="H1" s="25"/>
    </row>
    <row r="2" s="15" customFormat="1" ht="14.25" spans="1:8">
      <c r="A2" s="25" t="s">
        <v>392</v>
      </c>
      <c r="B2" s="9" t="s">
        <v>85</v>
      </c>
      <c r="C2" s="9" t="s">
        <v>393</v>
      </c>
      <c r="D2" s="26" t="s">
        <v>393</v>
      </c>
      <c r="E2" s="27"/>
      <c r="F2" s="25"/>
      <c r="G2" s="25"/>
      <c r="H2" s="25"/>
    </row>
    <row r="3" s="15" customFormat="1" ht="14.25" spans="1:8">
      <c r="A3" s="25" t="s">
        <v>392</v>
      </c>
      <c r="B3" s="9"/>
      <c r="C3" s="9"/>
      <c r="D3" s="26"/>
      <c r="E3" s="25"/>
      <c r="F3" s="25"/>
      <c r="G3" s="25"/>
      <c r="H3" s="25"/>
    </row>
    <row r="4" s="15" customFormat="1" ht="14.25" spans="1:8">
      <c r="A4" s="25" t="s">
        <v>12</v>
      </c>
      <c r="B4" s="9" t="s">
        <v>493</v>
      </c>
      <c r="C4" s="9" t="s">
        <v>501</v>
      </c>
      <c r="D4" s="26" t="s">
        <v>453</v>
      </c>
      <c r="E4" s="27"/>
      <c r="F4" s="25"/>
      <c r="G4" s="25"/>
      <c r="H4" s="25"/>
    </row>
    <row r="5" s="15" customFormat="1" customHeight="1" spans="2:4">
      <c r="B5" s="2">
        <v>50001</v>
      </c>
      <c r="C5" s="2" t="s">
        <v>613</v>
      </c>
      <c r="D5" s="24" t="s">
        <v>614</v>
      </c>
    </row>
    <row r="6" s="15" customFormat="1" customHeight="1" spans="2:4">
      <c r="B6" s="2">
        <v>50011</v>
      </c>
      <c r="C6" s="2" t="s">
        <v>615</v>
      </c>
      <c r="D6" s="24" t="s">
        <v>616</v>
      </c>
    </row>
    <row r="7" s="15" customFormat="1" customHeight="1" spans="2:4">
      <c r="B7" s="2">
        <v>50012</v>
      </c>
      <c r="C7" s="2" t="s">
        <v>617</v>
      </c>
      <c r="D7" s="24" t="s">
        <v>618</v>
      </c>
    </row>
    <row r="8" s="15" customFormat="1" customHeight="1" spans="2:4">
      <c r="B8" s="2">
        <v>50013</v>
      </c>
      <c r="C8" s="2" t="s">
        <v>619</v>
      </c>
      <c r="D8" s="24" t="s">
        <v>620</v>
      </c>
    </row>
    <row r="9" s="15" customFormat="1" customHeight="1" spans="2:4">
      <c r="B9" s="2">
        <v>50014</v>
      </c>
      <c r="C9" s="2" t="s">
        <v>621</v>
      </c>
      <c r="D9" s="24" t="s">
        <v>622</v>
      </c>
    </row>
    <row r="10" s="15" customFormat="1" customHeight="1" spans="2:4">
      <c r="B10" s="2">
        <v>50015</v>
      </c>
      <c r="C10" s="2" t="s">
        <v>623</v>
      </c>
      <c r="D10" s="24" t="s">
        <v>624</v>
      </c>
    </row>
    <row r="11" s="15" customFormat="1" customHeight="1" spans="2:4">
      <c r="B11" s="2">
        <v>50016</v>
      </c>
      <c r="C11" s="2" t="s">
        <v>625</v>
      </c>
      <c r="D11" s="24" t="s">
        <v>626</v>
      </c>
    </row>
    <row r="12" s="15" customFormat="1" customHeight="1" spans="2:4">
      <c r="B12" s="2">
        <v>50017</v>
      </c>
      <c r="C12" s="2" t="s">
        <v>627</v>
      </c>
      <c r="D12" s="24" t="s">
        <v>628</v>
      </c>
    </row>
    <row r="13" s="15" customFormat="1" customHeight="1" spans="2:4">
      <c r="B13" s="2">
        <v>50701</v>
      </c>
      <c r="C13" s="2" t="s">
        <v>629</v>
      </c>
      <c r="D13" s="24" t="s">
        <v>630</v>
      </c>
    </row>
    <row r="14" s="15" customFormat="1" customHeight="1" spans="2:4">
      <c r="B14" s="2">
        <v>50702</v>
      </c>
      <c r="C14" s="2" t="s">
        <v>631</v>
      </c>
      <c r="D14" s="24" t="s">
        <v>632</v>
      </c>
    </row>
    <row r="15" s="15" customFormat="1" customHeight="1" spans="2:4">
      <c r="B15" s="2">
        <v>51201</v>
      </c>
      <c r="C15" s="2" t="s">
        <v>633</v>
      </c>
      <c r="D15" s="24" t="s">
        <v>634</v>
      </c>
    </row>
    <row r="16" s="15" customFormat="1" customHeight="1" spans="2:4">
      <c r="B16" s="2">
        <v>51202</v>
      </c>
      <c r="C16" s="2" t="s">
        <v>635</v>
      </c>
      <c r="D16" s="24" t="s">
        <v>636</v>
      </c>
    </row>
    <row r="17" s="15" customFormat="1" customHeight="1" spans="2:4">
      <c r="B17" s="2">
        <v>50018</v>
      </c>
      <c r="C17" s="2" t="s">
        <v>637</v>
      </c>
      <c r="D17" s="24" t="s">
        <v>638</v>
      </c>
    </row>
    <row r="18" s="15" customFormat="1" customHeight="1" spans="2:4">
      <c r="B18" s="2">
        <v>50501</v>
      </c>
      <c r="C18" s="2" t="s">
        <v>639</v>
      </c>
      <c r="D18" s="24" t="s">
        <v>640</v>
      </c>
    </row>
    <row r="19" s="15" customFormat="1" customHeight="1" spans="2:4">
      <c r="B19" s="2">
        <v>50502</v>
      </c>
      <c r="C19" s="2" t="s">
        <v>641</v>
      </c>
      <c r="D19" s="24" t="s">
        <v>642</v>
      </c>
    </row>
    <row r="20" s="15" customFormat="1" customHeight="1" spans="2:4">
      <c r="B20" s="2">
        <v>50503</v>
      </c>
      <c r="C20" s="2" t="s">
        <v>643</v>
      </c>
      <c r="D20" s="24" t="s">
        <v>644</v>
      </c>
    </row>
    <row r="21" s="15" customFormat="1" customHeight="1" spans="2:4">
      <c r="B21" s="2">
        <v>50801</v>
      </c>
      <c r="C21" s="2" t="s">
        <v>645</v>
      </c>
      <c r="D21" s="24" t="s">
        <v>646</v>
      </c>
    </row>
    <row r="22" s="15" customFormat="1" customHeight="1" spans="2:4">
      <c r="B22" s="2">
        <v>50301</v>
      </c>
      <c r="C22" s="2" t="s">
        <v>647</v>
      </c>
      <c r="D22" s="24" t="s">
        <v>648</v>
      </c>
    </row>
    <row r="23" s="15" customFormat="1" customHeight="1" spans="2:4">
      <c r="B23" s="2">
        <v>50302</v>
      </c>
      <c r="C23" s="2" t="s">
        <v>649</v>
      </c>
      <c r="D23" s="24" t="s">
        <v>650</v>
      </c>
    </row>
    <row r="24" s="15" customFormat="1" customHeight="1" spans="2:4">
      <c r="B24" s="2">
        <v>50303</v>
      </c>
      <c r="C24" s="2" t="s">
        <v>651</v>
      </c>
      <c r="D24" s="24" t="s">
        <v>652</v>
      </c>
    </row>
    <row r="25" s="15" customFormat="1" customHeight="1" spans="2:4">
      <c r="B25" s="2">
        <v>50201</v>
      </c>
      <c r="C25" s="2" t="s">
        <v>653</v>
      </c>
      <c r="D25" s="24" t="s">
        <v>654</v>
      </c>
    </row>
    <row r="26" s="15" customFormat="1" customHeight="1" spans="2:4">
      <c r="B26" s="2">
        <v>50202</v>
      </c>
      <c r="C26" s="2" t="s">
        <v>655</v>
      </c>
      <c r="D26" s="24" t="s">
        <v>656</v>
      </c>
    </row>
    <row r="27" customHeight="1" spans="2:4">
      <c r="B27" s="2">
        <v>50203</v>
      </c>
      <c r="C27" s="2" t="s">
        <v>657</v>
      </c>
      <c r="D27" s="24" t="s">
        <v>658</v>
      </c>
    </row>
    <row r="28" customHeight="1" spans="2:4">
      <c r="B28" s="2">
        <v>51001</v>
      </c>
      <c r="C28" s="2" t="s">
        <v>659</v>
      </c>
      <c r="D28" s="24" t="s">
        <v>660</v>
      </c>
    </row>
    <row r="29" customHeight="1" spans="2:4">
      <c r="B29" s="2">
        <v>51002</v>
      </c>
      <c r="C29" s="2" t="s">
        <v>661</v>
      </c>
      <c r="D29" s="24" t="s">
        <v>662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"/>
  <sheetViews>
    <sheetView tabSelected="1" topLeftCell="W12" workbookViewId="0">
      <selection activeCell="A7" sqref="A7:D7"/>
    </sheetView>
  </sheetViews>
  <sheetFormatPr defaultColWidth="9" defaultRowHeight="14.25"/>
  <cols>
    <col min="2" max="2" width="9" style="15"/>
    <col min="3" max="3" width="10.875" style="15" customWidth="1"/>
    <col min="4" max="4" width="10.875" customWidth="1"/>
    <col min="5" max="7" width="6.375" style="16" customWidth="1"/>
    <col min="8" max="10" width="6.375" style="17" customWidth="1"/>
    <col min="11" max="13" width="6.375" style="16" customWidth="1"/>
    <col min="14" max="16" width="6.375" style="17" customWidth="1"/>
    <col min="17" max="19" width="6.375" style="16" customWidth="1"/>
    <col min="20" max="21" width="6.375" style="17" customWidth="1"/>
    <col min="22" max="22" width="6.66666666666667" style="17" customWidth="1"/>
  </cols>
  <sheetData>
    <row r="1" s="14" customFormat="1" spans="1:23">
      <c r="A1" s="18" t="s">
        <v>0</v>
      </c>
      <c r="B1" s="18" t="s">
        <v>172</v>
      </c>
      <c r="C1" s="18" t="s">
        <v>72</v>
      </c>
      <c r="D1" s="19" t="s">
        <v>663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23"/>
    </row>
    <row r="2" s="14" customFormat="1" spans="1:23">
      <c r="A2" s="18" t="s">
        <v>392</v>
      </c>
      <c r="B2" s="18" t="s">
        <v>85</v>
      </c>
      <c r="C2" s="18" t="s">
        <v>393</v>
      </c>
      <c r="D2" s="19" t="s">
        <v>664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23"/>
    </row>
    <row r="3" s="14" customFormat="1" spans="1:23">
      <c r="A3" s="18" t="s">
        <v>392</v>
      </c>
      <c r="B3" s="18"/>
      <c r="C3" s="18"/>
      <c r="D3" s="18" t="s">
        <v>393</v>
      </c>
      <c r="E3" s="18" t="s">
        <v>170</v>
      </c>
      <c r="F3" s="18"/>
      <c r="G3" s="18"/>
      <c r="H3" s="18" t="s">
        <v>170</v>
      </c>
      <c r="I3" s="18"/>
      <c r="J3" s="18"/>
      <c r="K3" s="18" t="s">
        <v>170</v>
      </c>
      <c r="L3" s="18"/>
      <c r="M3" s="18"/>
      <c r="N3" s="18" t="s">
        <v>170</v>
      </c>
      <c r="O3" s="18"/>
      <c r="P3" s="18"/>
      <c r="Q3" s="18" t="s">
        <v>170</v>
      </c>
      <c r="R3" s="18"/>
      <c r="S3" s="18"/>
      <c r="T3" s="18" t="s">
        <v>170</v>
      </c>
      <c r="U3" s="18"/>
      <c r="V3" s="18"/>
      <c r="W3" s="23"/>
    </row>
    <row r="4" s="14" customFormat="1" spans="1:23">
      <c r="A4" s="18" t="s">
        <v>392</v>
      </c>
      <c r="B4" s="18"/>
      <c r="C4" s="18"/>
      <c r="D4" s="18"/>
      <c r="E4" s="18" t="s">
        <v>172</v>
      </c>
      <c r="F4" s="18" t="s">
        <v>174</v>
      </c>
      <c r="G4" s="18" t="s">
        <v>176</v>
      </c>
      <c r="H4" s="18" t="s">
        <v>172</v>
      </c>
      <c r="I4" s="18" t="s">
        <v>174</v>
      </c>
      <c r="J4" s="18" t="s">
        <v>176</v>
      </c>
      <c r="K4" s="18" t="s">
        <v>172</v>
      </c>
      <c r="L4" s="18" t="s">
        <v>174</v>
      </c>
      <c r="M4" s="18" t="s">
        <v>176</v>
      </c>
      <c r="N4" s="18" t="s">
        <v>172</v>
      </c>
      <c r="O4" s="18" t="s">
        <v>174</v>
      </c>
      <c r="P4" s="18" t="s">
        <v>176</v>
      </c>
      <c r="Q4" s="18" t="s">
        <v>172</v>
      </c>
      <c r="R4" s="18" t="s">
        <v>174</v>
      </c>
      <c r="S4" s="18" t="s">
        <v>176</v>
      </c>
      <c r="T4" s="18" t="s">
        <v>172</v>
      </c>
      <c r="U4" s="18" t="s">
        <v>174</v>
      </c>
      <c r="V4" s="18" t="s">
        <v>176</v>
      </c>
      <c r="W4" s="23"/>
    </row>
    <row r="5" s="14" customFormat="1" spans="1:23">
      <c r="A5" s="18" t="s">
        <v>12</v>
      </c>
      <c r="B5" s="18" t="s">
        <v>493</v>
      </c>
      <c r="C5" s="18" t="s">
        <v>665</v>
      </c>
      <c r="D5" s="18" t="s">
        <v>666</v>
      </c>
      <c r="E5" s="18" t="s">
        <v>173</v>
      </c>
      <c r="F5" s="18" t="s">
        <v>175</v>
      </c>
      <c r="G5" s="18" t="s">
        <v>177</v>
      </c>
      <c r="H5" s="18" t="s">
        <v>173</v>
      </c>
      <c r="I5" s="18" t="s">
        <v>175</v>
      </c>
      <c r="J5" s="18" t="s">
        <v>177</v>
      </c>
      <c r="K5" s="18" t="s">
        <v>173</v>
      </c>
      <c r="L5" s="18" t="s">
        <v>175</v>
      </c>
      <c r="M5" s="18" t="s">
        <v>177</v>
      </c>
      <c r="N5" s="18" t="s">
        <v>173</v>
      </c>
      <c r="O5" s="18" t="s">
        <v>175</v>
      </c>
      <c r="P5" s="18" t="s">
        <v>177</v>
      </c>
      <c r="Q5" s="18" t="s">
        <v>173</v>
      </c>
      <c r="R5" s="18" t="s">
        <v>175</v>
      </c>
      <c r="S5" s="18" t="s">
        <v>177</v>
      </c>
      <c r="T5" s="18" t="s">
        <v>173</v>
      </c>
      <c r="U5" s="18" t="s">
        <v>175</v>
      </c>
      <c r="V5" s="18" t="s">
        <v>177</v>
      </c>
      <c r="W5" s="23"/>
    </row>
    <row r="6" spans="2:22">
      <c r="B6" s="15">
        <v>70001</v>
      </c>
      <c r="C6" s="15" t="s">
        <v>667</v>
      </c>
      <c r="D6" s="20" t="s">
        <v>668</v>
      </c>
      <c r="E6" s="21">
        <v>65006</v>
      </c>
      <c r="F6" s="21">
        <v>2</v>
      </c>
      <c r="G6" s="21">
        <v>3</v>
      </c>
      <c r="H6" s="22">
        <v>65002</v>
      </c>
      <c r="I6" s="22">
        <v>1</v>
      </c>
      <c r="J6" s="22">
        <v>3</v>
      </c>
      <c r="K6" s="21">
        <v>65002</v>
      </c>
      <c r="L6" s="21">
        <v>1</v>
      </c>
      <c r="M6" s="21">
        <v>4</v>
      </c>
      <c r="N6" s="22">
        <v>65004</v>
      </c>
      <c r="O6" s="22">
        <v>3</v>
      </c>
      <c r="P6" s="22">
        <v>3</v>
      </c>
      <c r="Q6" s="21">
        <v>65004</v>
      </c>
      <c r="R6" s="21">
        <v>3</v>
      </c>
      <c r="S6" s="21">
        <v>4</v>
      </c>
      <c r="T6" s="22"/>
      <c r="U6" s="22"/>
      <c r="V6" s="22"/>
    </row>
    <row r="7" spans="4:22">
      <c r="D7" s="20" t="s">
        <v>669</v>
      </c>
      <c r="E7" s="16">
        <v>65005</v>
      </c>
      <c r="F7" s="16">
        <v>1</v>
      </c>
      <c r="G7" s="16">
        <v>4</v>
      </c>
      <c r="H7" s="17">
        <v>65001</v>
      </c>
      <c r="I7" s="17">
        <v>1</v>
      </c>
      <c r="J7" s="17">
        <v>3</v>
      </c>
      <c r="K7" s="16">
        <v>65001</v>
      </c>
      <c r="L7" s="16">
        <v>1</v>
      </c>
      <c r="M7" s="16">
        <v>5</v>
      </c>
      <c r="N7" s="17">
        <v>65003</v>
      </c>
      <c r="O7" s="17">
        <v>3</v>
      </c>
      <c r="P7" s="17">
        <v>3</v>
      </c>
      <c r="Q7" s="16">
        <v>65003</v>
      </c>
      <c r="R7" s="16">
        <v>3</v>
      </c>
      <c r="S7" s="16">
        <v>4</v>
      </c>
      <c r="T7" s="17">
        <v>65003</v>
      </c>
      <c r="U7" s="17">
        <v>3</v>
      </c>
      <c r="V7" s="17">
        <v>5</v>
      </c>
    </row>
    <row r="8" spans="2:22">
      <c r="B8" s="15">
        <v>71001</v>
      </c>
      <c r="C8" s="15" t="s">
        <v>670</v>
      </c>
      <c r="D8" s="20" t="s">
        <v>671</v>
      </c>
      <c r="E8" s="21">
        <v>10001</v>
      </c>
      <c r="F8" s="21">
        <v>2</v>
      </c>
      <c r="G8" s="21">
        <v>3</v>
      </c>
      <c r="H8" s="22">
        <v>60002</v>
      </c>
      <c r="I8" s="22">
        <v>1</v>
      </c>
      <c r="J8" s="22">
        <v>3</v>
      </c>
      <c r="K8" s="21">
        <v>60002</v>
      </c>
      <c r="L8" s="21">
        <v>1</v>
      </c>
      <c r="M8" s="21">
        <v>5</v>
      </c>
      <c r="N8" s="22"/>
      <c r="O8" s="22"/>
      <c r="P8" s="22"/>
      <c r="Q8" s="21"/>
      <c r="R8" s="21"/>
      <c r="S8" s="21"/>
      <c r="T8" s="22"/>
      <c r="U8" s="22"/>
      <c r="V8" s="22"/>
    </row>
    <row r="9" spans="4:22">
      <c r="D9" s="20" t="s">
        <v>672</v>
      </c>
      <c r="E9" s="16">
        <v>10002</v>
      </c>
      <c r="F9" s="16">
        <v>1</v>
      </c>
      <c r="G9" s="16">
        <v>3</v>
      </c>
      <c r="H9" s="17">
        <v>60005</v>
      </c>
      <c r="I9" s="17">
        <v>1</v>
      </c>
      <c r="J9" s="17">
        <v>3</v>
      </c>
      <c r="K9" s="16">
        <v>60005</v>
      </c>
      <c r="L9" s="16">
        <v>1</v>
      </c>
      <c r="M9" s="16">
        <v>1</v>
      </c>
      <c r="N9" s="17">
        <v>60005</v>
      </c>
      <c r="O9" s="17">
        <v>1</v>
      </c>
      <c r="P9" s="17">
        <v>5</v>
      </c>
      <c r="Q9" s="16">
        <v>60003</v>
      </c>
      <c r="R9" s="16">
        <v>3</v>
      </c>
      <c r="S9" s="16">
        <v>4</v>
      </c>
      <c r="T9" s="17">
        <v>60003</v>
      </c>
      <c r="U9" s="17">
        <v>3</v>
      </c>
      <c r="V9" s="17">
        <v>5</v>
      </c>
    </row>
    <row r="22" customHeight="1"/>
    <row r="23" customHeight="1"/>
    <row r="24" customHeight="1"/>
    <row r="25" customHeight="1"/>
    <row r="26" customHeight="1"/>
    <row r="27" customHeight="1"/>
  </sheetData>
  <sheetProtection formatCells="0" formatColumns="0" formatRows="0" insertRows="0" insertColumns="0" insertHyperlinks="0" deleteColumns="0" deleteRows="0" sort="0" autoFilter="0" pivotTables="0"/>
  <mergeCells count="2">
    <mergeCell ref="D1:V1"/>
    <mergeCell ref="D2:V2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workbookViewId="0">
      <selection activeCell="A1" sqref="A1"/>
    </sheetView>
  </sheetViews>
  <sheetFormatPr defaultColWidth="9" defaultRowHeight="14.25" outlineLevelCol="4"/>
  <cols>
    <col min="2" max="2" width="10.875" customWidth="1"/>
    <col min="5" max="5" width="132" customWidth="1"/>
  </cols>
  <sheetData>
    <row r="1" spans="1:5">
      <c r="A1" s="11" t="s">
        <v>673</v>
      </c>
      <c r="B1" s="11" t="s">
        <v>674</v>
      </c>
      <c r="C1" s="11" t="s">
        <v>674</v>
      </c>
      <c r="D1" s="11" t="s">
        <v>674</v>
      </c>
      <c r="E1" s="11" t="s">
        <v>453</v>
      </c>
    </row>
    <row r="2" spans="1:5">
      <c r="A2" s="11" t="s">
        <v>675</v>
      </c>
      <c r="B2" s="11"/>
      <c r="C2" s="11"/>
      <c r="D2" s="11"/>
      <c r="E2" s="11" t="s">
        <v>676</v>
      </c>
    </row>
    <row r="3" spans="1:5">
      <c r="A3" s="11"/>
      <c r="B3" s="11" t="s">
        <v>677</v>
      </c>
      <c r="C3" s="11"/>
      <c r="D3" s="11"/>
      <c r="E3" s="11" t="s">
        <v>678</v>
      </c>
    </row>
    <row r="4" spans="1:5">
      <c r="A4" s="11"/>
      <c r="B4" s="11"/>
      <c r="C4" s="11"/>
      <c r="D4" s="11"/>
      <c r="E4" s="11"/>
    </row>
    <row r="5" spans="1:5">
      <c r="A5" s="11"/>
      <c r="B5" s="11"/>
      <c r="C5" s="11"/>
      <c r="D5" s="11"/>
      <c r="E5" s="11"/>
    </row>
    <row r="6" spans="1:5">
      <c r="A6" s="12" t="s">
        <v>679</v>
      </c>
      <c r="B6" s="12"/>
      <c r="C6" s="12"/>
      <c r="D6" s="12"/>
      <c r="E6" s="12"/>
    </row>
    <row r="7" spans="1:5">
      <c r="A7" s="12"/>
      <c r="B7" s="12" t="s">
        <v>99</v>
      </c>
      <c r="C7" s="12"/>
      <c r="D7" s="12"/>
      <c r="E7" s="12" t="s">
        <v>680</v>
      </c>
    </row>
    <row r="8" spans="1:5">
      <c r="A8" s="12"/>
      <c r="B8" s="12" t="s">
        <v>137</v>
      </c>
      <c r="C8" s="12"/>
      <c r="D8" s="12"/>
      <c r="E8" s="12"/>
    </row>
    <row r="9" spans="1:5">
      <c r="A9" s="12"/>
      <c r="B9" s="12" t="s">
        <v>681</v>
      </c>
      <c r="C9" s="12"/>
      <c r="D9" s="12"/>
      <c r="E9" s="12"/>
    </row>
    <row r="10" spans="1:5">
      <c r="A10" s="12"/>
      <c r="B10" s="12" t="s">
        <v>108</v>
      </c>
      <c r="C10" s="12"/>
      <c r="D10" s="12"/>
      <c r="E10" s="12"/>
    </row>
    <row r="11" spans="1:5">
      <c r="A11" s="12"/>
      <c r="B11" s="12" t="s">
        <v>106</v>
      </c>
      <c r="C11" s="12"/>
      <c r="D11" s="12"/>
      <c r="E11" s="12"/>
    </row>
    <row r="12" spans="1:5">
      <c r="A12" s="12"/>
      <c r="B12" s="12" t="s">
        <v>104</v>
      </c>
      <c r="C12" s="12"/>
      <c r="D12" s="12"/>
      <c r="E12" s="12"/>
    </row>
    <row r="13" spans="1:5">
      <c r="A13" s="12"/>
      <c r="B13" s="12" t="s">
        <v>682</v>
      </c>
      <c r="C13" s="12"/>
      <c r="D13" s="12"/>
      <c r="E13" s="12"/>
    </row>
    <row r="14" spans="1:5">
      <c r="A14" s="12"/>
      <c r="B14" s="12"/>
      <c r="C14" s="12" t="s">
        <v>683</v>
      </c>
      <c r="D14" s="12"/>
      <c r="E14" s="12"/>
    </row>
    <row r="15" spans="1:5">
      <c r="A15" s="12"/>
      <c r="B15" s="12"/>
      <c r="C15" s="12" t="s">
        <v>106</v>
      </c>
      <c r="D15" s="12"/>
      <c r="E15" s="12"/>
    </row>
    <row r="16" spans="1:5">
      <c r="A16" s="12"/>
      <c r="B16" s="12"/>
      <c r="C16" s="12" t="s">
        <v>684</v>
      </c>
      <c r="D16" s="12"/>
      <c r="E16" s="12"/>
    </row>
    <row r="17" spans="1:5">
      <c r="A17" s="10"/>
      <c r="E17" s="10"/>
    </row>
    <row r="18" spans="1:5">
      <c r="A18" s="10" t="s">
        <v>685</v>
      </c>
      <c r="E18" s="10"/>
    </row>
    <row r="19" spans="1:5">
      <c r="A19" s="10"/>
      <c r="B19" s="10" t="s">
        <v>686</v>
      </c>
      <c r="E19" s="10"/>
    </row>
    <row r="20" spans="1:5">
      <c r="A20" s="10"/>
      <c r="C20" s="10" t="s">
        <v>687</v>
      </c>
      <c r="D20" s="10"/>
      <c r="E20" s="10"/>
    </row>
    <row r="21" spans="1:5">
      <c r="A21" s="10"/>
      <c r="C21" s="10" t="s">
        <v>688</v>
      </c>
      <c r="D21" s="10" t="s">
        <v>255</v>
      </c>
      <c r="E21" s="10"/>
    </row>
    <row r="22" spans="1:5">
      <c r="A22" s="10"/>
      <c r="D22" s="10" t="s">
        <v>689</v>
      </c>
      <c r="E22" s="10"/>
    </row>
    <row r="23" spans="1:5">
      <c r="A23" s="10"/>
      <c r="B23" s="10" t="s">
        <v>135</v>
      </c>
      <c r="E23" s="10"/>
    </row>
    <row r="24" spans="1:5">
      <c r="A24" s="10"/>
      <c r="E24" s="10"/>
    </row>
    <row r="25" spans="1:5">
      <c r="A25" s="10"/>
      <c r="E25" s="10"/>
    </row>
    <row r="26" spans="1:5">
      <c r="A26" s="10"/>
      <c r="E26" s="10"/>
    </row>
    <row r="27" spans="1:5">
      <c r="A27" s="13" t="s">
        <v>111</v>
      </c>
      <c r="B27" s="13"/>
      <c r="C27" s="13"/>
      <c r="D27" s="13"/>
      <c r="E27" s="13" t="s">
        <v>690</v>
      </c>
    </row>
    <row r="28" spans="1:5">
      <c r="A28" s="13"/>
      <c r="B28" s="13" t="s">
        <v>691</v>
      </c>
      <c r="C28" s="13"/>
      <c r="D28" s="13"/>
      <c r="E28" s="13" t="s">
        <v>692</v>
      </c>
    </row>
    <row r="29" spans="1:5">
      <c r="A29" s="13"/>
      <c r="B29" s="13" t="s">
        <v>693</v>
      </c>
      <c r="C29" s="13"/>
      <c r="D29" s="13"/>
      <c r="E29" s="13"/>
    </row>
    <row r="30" spans="1:5">
      <c r="A30" s="13"/>
      <c r="B30" s="13" t="s">
        <v>694</v>
      </c>
      <c r="C30" s="13"/>
      <c r="D30" s="13"/>
      <c r="E30" s="13"/>
    </row>
    <row r="32" spans="1:1">
      <c r="A32" s="10" t="s">
        <v>695</v>
      </c>
    </row>
    <row r="33" spans="1:1">
      <c r="A33" s="10" t="s">
        <v>696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78"/>
  <sheetViews>
    <sheetView topLeftCell="T59" workbookViewId="0">
      <selection activeCell="P60" sqref="P60:Q65"/>
    </sheetView>
  </sheetViews>
  <sheetFormatPr defaultColWidth="9" defaultRowHeight="14.25"/>
  <cols>
    <col min="4" max="5" width="12.275" customWidth="1"/>
    <col min="8" max="8" width="14" customWidth="1"/>
    <col min="9" max="9" width="11.8166666666667" customWidth="1"/>
    <col min="14" max="14" width="8.725" style="2"/>
    <col min="20" max="20" width="9.41666666666667" customWidth="1"/>
    <col min="23" max="23" width="9.41666666666667" customWidth="1"/>
    <col min="30" max="31" width="8.725" style="2"/>
    <col min="34" max="34" width="10.25" customWidth="1"/>
  </cols>
  <sheetData>
    <row r="1" s="1" customFormat="1" spans="1:31">
      <c r="A1" s="3" t="s">
        <v>697</v>
      </c>
      <c r="B1" s="4" t="s">
        <v>698</v>
      </c>
      <c r="C1" s="4" t="s">
        <v>699</v>
      </c>
      <c r="D1" s="4" t="s">
        <v>700</v>
      </c>
      <c r="E1" s="4" t="s">
        <v>187</v>
      </c>
      <c r="F1" s="4" t="s">
        <v>503</v>
      </c>
      <c r="G1" s="1" t="s">
        <v>701</v>
      </c>
      <c r="H1" s="1" t="s">
        <v>702</v>
      </c>
      <c r="I1" s="1" t="s">
        <v>703</v>
      </c>
      <c r="J1" s="1" t="s">
        <v>704</v>
      </c>
      <c r="N1" s="9"/>
      <c r="AD1" s="9"/>
      <c r="AE1" s="9"/>
    </row>
    <row r="2" spans="1:10">
      <c r="A2" s="5" t="s">
        <v>199</v>
      </c>
      <c r="B2" s="5" t="s">
        <v>340</v>
      </c>
      <c r="C2" s="6" t="s">
        <v>370</v>
      </c>
      <c r="D2" s="7" t="s">
        <v>370</v>
      </c>
      <c r="E2" s="5" t="s">
        <v>113</v>
      </c>
      <c r="F2" t="s">
        <v>330</v>
      </c>
      <c r="G2" s="5" t="s">
        <v>189</v>
      </c>
      <c r="H2" s="5" t="s">
        <v>234</v>
      </c>
      <c r="I2" t="s">
        <v>608</v>
      </c>
      <c r="J2" s="5" t="s">
        <v>242</v>
      </c>
    </row>
    <row r="3" spans="1:10">
      <c r="A3" s="5" t="s">
        <v>201</v>
      </c>
      <c r="B3" s="5" t="s">
        <v>342</v>
      </c>
      <c r="C3" s="6" t="s">
        <v>372</v>
      </c>
      <c r="D3" s="7" t="s">
        <v>508</v>
      </c>
      <c r="E3" s="5" t="s">
        <v>115</v>
      </c>
      <c r="F3" t="s">
        <v>332</v>
      </c>
      <c r="G3" s="5" t="s">
        <v>247</v>
      </c>
      <c r="H3" s="5" t="s">
        <v>236</v>
      </c>
      <c r="I3" t="s">
        <v>610</v>
      </c>
      <c r="J3" s="5" t="s">
        <v>244</v>
      </c>
    </row>
    <row r="4" spans="1:10">
      <c r="A4" s="5" t="s">
        <v>203</v>
      </c>
      <c r="B4" s="5" t="s">
        <v>344</v>
      </c>
      <c r="C4" s="6" t="s">
        <v>374</v>
      </c>
      <c r="D4" s="7" t="s">
        <v>511</v>
      </c>
      <c r="E4" s="5" t="s">
        <v>117</v>
      </c>
      <c r="F4" t="s">
        <v>334</v>
      </c>
      <c r="G4" s="5" t="s">
        <v>249</v>
      </c>
      <c r="H4" s="5" t="s">
        <v>238</v>
      </c>
      <c r="I4" t="s">
        <v>609</v>
      </c>
      <c r="J4" s="5"/>
    </row>
    <row r="5" spans="1:9">
      <c r="A5" s="5" t="s">
        <v>205</v>
      </c>
      <c r="B5" s="5" t="s">
        <v>346</v>
      </c>
      <c r="C5" s="6" t="s">
        <v>376</v>
      </c>
      <c r="D5" s="7" t="s">
        <v>512</v>
      </c>
      <c r="E5" s="5" t="s">
        <v>119</v>
      </c>
      <c r="F5" t="s">
        <v>336</v>
      </c>
      <c r="G5" s="5" t="s">
        <v>251</v>
      </c>
      <c r="I5" t="s">
        <v>611</v>
      </c>
    </row>
    <row r="6" spans="1:9">
      <c r="A6" s="5" t="s">
        <v>207</v>
      </c>
      <c r="B6" s="5" t="s">
        <v>348</v>
      </c>
      <c r="C6" s="6" t="s">
        <v>378</v>
      </c>
      <c r="D6" s="7" t="s">
        <v>514</v>
      </c>
      <c r="E6" s="5" t="s">
        <v>121</v>
      </c>
      <c r="G6" s="5" t="s">
        <v>253</v>
      </c>
      <c r="I6" t="s">
        <v>612</v>
      </c>
    </row>
    <row r="7" spans="1:9">
      <c r="A7" s="5" t="s">
        <v>209</v>
      </c>
      <c r="B7" s="5" t="s">
        <v>350</v>
      </c>
      <c r="C7" s="6" t="s">
        <v>380</v>
      </c>
      <c r="D7" s="7" t="s">
        <v>376</v>
      </c>
      <c r="E7" s="5" t="s">
        <v>123</v>
      </c>
      <c r="G7" s="5" t="s">
        <v>255</v>
      </c>
      <c r="I7" t="s">
        <v>560</v>
      </c>
    </row>
    <row r="8" spans="1:7">
      <c r="A8" s="5" t="s">
        <v>211</v>
      </c>
      <c r="B8" s="5" t="s">
        <v>352</v>
      </c>
      <c r="C8" s="6" t="s">
        <v>382</v>
      </c>
      <c r="D8" s="7" t="s">
        <v>378</v>
      </c>
      <c r="E8" s="5"/>
      <c r="G8" s="5" t="s">
        <v>257</v>
      </c>
    </row>
    <row r="9" spans="1:7">
      <c r="A9" s="5" t="s">
        <v>213</v>
      </c>
      <c r="B9" s="5" t="s">
        <v>354</v>
      </c>
      <c r="C9" s="6" t="s">
        <v>384</v>
      </c>
      <c r="D9" s="7" t="s">
        <v>380</v>
      </c>
      <c r="E9" s="5"/>
      <c r="G9" s="5" t="s">
        <v>259</v>
      </c>
    </row>
    <row r="10" spans="1:7">
      <c r="A10" s="5" t="s">
        <v>215</v>
      </c>
      <c r="B10" s="5" t="s">
        <v>356</v>
      </c>
      <c r="C10" s="6" t="s">
        <v>386</v>
      </c>
      <c r="D10" s="7" t="s">
        <v>382</v>
      </c>
      <c r="E10" s="5"/>
      <c r="G10" s="5" t="s">
        <v>261</v>
      </c>
    </row>
    <row r="11" spans="1:7">
      <c r="A11" s="5" t="s">
        <v>217</v>
      </c>
      <c r="B11" s="5" t="s">
        <v>358</v>
      </c>
      <c r="D11" s="7" t="s">
        <v>384</v>
      </c>
      <c r="E11" s="5"/>
      <c r="G11" s="5" t="s">
        <v>263</v>
      </c>
    </row>
    <row r="12" spans="1:7">
      <c r="A12" s="5" t="s">
        <v>219</v>
      </c>
      <c r="B12" s="5" t="s">
        <v>360</v>
      </c>
      <c r="D12" s="7" t="s">
        <v>386</v>
      </c>
      <c r="E12" s="5"/>
      <c r="G12" s="5" t="s">
        <v>265</v>
      </c>
    </row>
    <row r="13" spans="1:7">
      <c r="A13" s="5" t="s">
        <v>221</v>
      </c>
      <c r="B13" s="5" t="s">
        <v>362</v>
      </c>
      <c r="D13" s="5"/>
      <c r="E13" s="5"/>
      <c r="G13" s="5" t="s">
        <v>267</v>
      </c>
    </row>
    <row r="14" spans="2:7">
      <c r="B14" t="s">
        <v>364</v>
      </c>
      <c r="D14" s="5"/>
      <c r="E14" s="5"/>
      <c r="G14" s="5" t="s">
        <v>269</v>
      </c>
    </row>
    <row r="15" spans="2:7">
      <c r="B15" t="s">
        <v>366</v>
      </c>
      <c r="D15" s="5"/>
      <c r="E15" s="5"/>
      <c r="G15" s="5" t="s">
        <v>271</v>
      </c>
    </row>
    <row r="16" spans="4:7">
      <c r="D16" s="5"/>
      <c r="E16" s="5"/>
      <c r="G16" s="5" t="s">
        <v>273</v>
      </c>
    </row>
    <row r="17" spans="4:7">
      <c r="D17" s="5"/>
      <c r="E17" s="5"/>
      <c r="G17" s="5" t="s">
        <v>275</v>
      </c>
    </row>
    <row r="18" spans="4:7">
      <c r="D18" s="5"/>
      <c r="E18" s="5"/>
      <c r="G18" s="5" t="s">
        <v>277</v>
      </c>
    </row>
    <row r="19" spans="4:7">
      <c r="D19" s="8"/>
      <c r="G19" s="5" t="s">
        <v>279</v>
      </c>
    </row>
    <row r="20" spans="7:7">
      <c r="G20" s="5" t="s">
        <v>281</v>
      </c>
    </row>
    <row r="21" customFormat="1" spans="14:14">
      <c r="N21" s="2"/>
    </row>
    <row r="22" customFormat="1" spans="14:14">
      <c r="N22" s="2"/>
    </row>
    <row r="23" customFormat="1" spans="14:14">
      <c r="N23" s="2"/>
    </row>
    <row r="24" customFormat="1" spans="14:14">
      <c r="N24" s="2"/>
    </row>
    <row r="25" customFormat="1" spans="14:14">
      <c r="N25" s="2"/>
    </row>
    <row r="26" customFormat="1" spans="14:14">
      <c r="N26" s="2"/>
    </row>
    <row r="27" customFormat="1" spans="14:14">
      <c r="N27" s="2"/>
    </row>
    <row r="28" customFormat="1" spans="14:14">
      <c r="N28" s="2"/>
    </row>
    <row r="29" spans="7:7">
      <c r="G29" s="5"/>
    </row>
    <row r="30" spans="7:7">
      <c r="G30" s="5"/>
    </row>
    <row r="31" spans="7:7">
      <c r="G31" s="5"/>
    </row>
    <row r="32" spans="7:7">
      <c r="G32" s="5"/>
    </row>
    <row r="33" spans="7:7">
      <c r="G33" s="5"/>
    </row>
    <row r="34" spans="7:7">
      <c r="G34" s="5"/>
    </row>
    <row r="35" spans="7:7">
      <c r="G35" s="5"/>
    </row>
    <row r="36" spans="7:7">
      <c r="G36" s="5"/>
    </row>
    <row r="37" spans="7:7">
      <c r="G37" s="5"/>
    </row>
    <row r="38" spans="7:7">
      <c r="G38" s="5"/>
    </row>
    <row r="39" customFormat="1" spans="14:31">
      <c r="N39" s="2"/>
      <c r="AD39" s="2"/>
      <c r="AE39" s="2"/>
    </row>
    <row r="41" ht="14.5" customHeight="1" spans="14:31">
      <c r="N41"/>
      <c r="AD41"/>
      <c r="AE41"/>
    </row>
    <row r="42" ht="14.5" customHeight="1" spans="14:31">
      <c r="N42"/>
      <c r="AD42"/>
      <c r="AE42"/>
    </row>
    <row r="43" ht="14.5" customHeight="1" spans="14:34">
      <c r="N43"/>
      <c r="AD43"/>
      <c r="AE43"/>
      <c r="AH43" s="10" t="s">
        <v>705</v>
      </c>
    </row>
    <row r="44" ht="14.5" customHeight="1" spans="14:34">
      <c r="N44"/>
      <c r="AD44"/>
      <c r="AE44"/>
      <c r="AH44" s="10" t="s">
        <v>706</v>
      </c>
    </row>
    <row r="45" ht="14.5" customHeight="1" spans="14:34">
      <c r="N45"/>
      <c r="AD45"/>
      <c r="AE45"/>
      <c r="AH45" s="10" t="s">
        <v>613</v>
      </c>
    </row>
    <row r="46" ht="14.5" customHeight="1" spans="14:34">
      <c r="N46"/>
      <c r="AD46"/>
      <c r="AE46"/>
      <c r="AH46" s="10" t="s">
        <v>707</v>
      </c>
    </row>
    <row r="47" ht="14.5" customHeight="1" spans="14:34">
      <c r="N47"/>
      <c r="AD47"/>
      <c r="AE47"/>
      <c r="AH47" s="10" t="s">
        <v>708</v>
      </c>
    </row>
    <row r="48" ht="14.5" customHeight="1" spans="14:34">
      <c r="N48"/>
      <c r="AD48"/>
      <c r="AE48"/>
      <c r="AH48" s="10" t="s">
        <v>709</v>
      </c>
    </row>
    <row r="49" ht="14.5" customHeight="1" spans="14:31">
      <c r="N49"/>
      <c r="AD49"/>
      <c r="AE49"/>
    </row>
    <row r="50" ht="14.5" customHeight="1" spans="14:31">
      <c r="N50"/>
      <c r="AD50"/>
      <c r="AE50"/>
    </row>
    <row r="51" ht="14.5" customHeight="1" spans="14:31">
      <c r="N51"/>
      <c r="AD51"/>
      <c r="AE51"/>
    </row>
    <row r="52" ht="14.5" customHeight="1" spans="14:31">
      <c r="N52"/>
      <c r="AD52"/>
      <c r="AE52"/>
    </row>
    <row r="53" ht="14.5" customHeight="1" spans="14:31">
      <c r="N53"/>
      <c r="AD53"/>
      <c r="AE53"/>
    </row>
    <row r="54" ht="14.5" customHeight="1" spans="14:31">
      <c r="N54"/>
      <c r="AD54"/>
      <c r="AE54"/>
    </row>
    <row r="55" s="2" customFormat="1" ht="14.5" customHeight="1" spans="9:33"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</row>
    <row r="56" ht="14.5" customHeight="1" spans="14:14">
      <c r="N56"/>
    </row>
    <row r="57" ht="14.5" customHeight="1" spans="14:14">
      <c r="N57"/>
    </row>
    <row r="58" ht="14.5" customHeight="1" spans="14:14">
      <c r="N58"/>
    </row>
    <row r="59" ht="14.5" customHeight="1" spans="14:14">
      <c r="N59"/>
    </row>
    <row r="60" ht="14.5" customHeight="1" spans="14:14">
      <c r="N60"/>
    </row>
    <row r="61" ht="14.5" customHeight="1" spans="14:14">
      <c r="N61"/>
    </row>
    <row r="62" ht="14.5" customHeight="1" spans="14:14">
      <c r="N62"/>
    </row>
    <row r="63" ht="14.5" customHeight="1" spans="14:14">
      <c r="N63"/>
    </row>
    <row r="64" ht="14.5" customHeight="1" spans="14:14">
      <c r="N64"/>
    </row>
    <row r="65" ht="14.5" customHeight="1" spans="14:14">
      <c r="N65"/>
    </row>
    <row r="66" ht="14.5" customHeight="1" spans="14:14">
      <c r="N66"/>
    </row>
    <row r="67" ht="14.5" customHeight="1" spans="14:14">
      <c r="N67"/>
    </row>
    <row r="68" ht="14.5" customHeight="1" spans="14:14">
      <c r="N68"/>
    </row>
    <row r="69" ht="14.5" customHeight="1" spans="14:14">
      <c r="N69"/>
    </row>
    <row r="70" ht="14.5" customHeight="1" spans="14:30">
      <c r="N70"/>
      <c r="AD70"/>
    </row>
    <row r="71" spans="14:30">
      <c r="N71"/>
      <c r="AD71"/>
    </row>
    <row r="72" spans="14:30">
      <c r="N72"/>
      <c r="AD72"/>
    </row>
    <row r="73" spans="14:30">
      <c r="N73"/>
      <c r="AD73"/>
    </row>
    <row r="74" spans="14:30">
      <c r="N74"/>
      <c r="AD74"/>
    </row>
    <row r="75" spans="14:30">
      <c r="N75"/>
      <c r="AD75"/>
    </row>
    <row r="76" spans="14:30">
      <c r="N76"/>
      <c r="AD76"/>
    </row>
    <row r="77" spans="14:30">
      <c r="N77"/>
      <c r="AD77"/>
    </row>
    <row r="78" spans="14:30">
      <c r="N78"/>
      <c r="AD78"/>
    </row>
  </sheetData>
  <sheetProtection formatCells="0" formatColumns="0" formatRows="0" insertRows="0" insertColumns="0" insertHyperlinks="0" deleteColumns="0" deleteRows="0" sort="0" autoFilter="0" pivotTables="0"/>
  <dataValidations count="1">
    <dataValidation type="list" allowBlank="1" showErrorMessage="1" errorTitle="错误提示" error="请输入下拉列表中的值" sqref="A1">
      <formula1>'##角色_下拉菜单'!$F$2:$F$5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  <woSheetProps sheetStid="17" interlineOnOff="0" interlineColor="0" isDbSheet="0" isDashBoardSheet="0" isDbDashBoardSheet="0" isFlexPaperSheet="0">
      <cellprotection/>
      <appEtDbRelations/>
    </woSheetProps>
    <woSheetProps sheetStid="18" interlineOnOff="0" interlineColor="0" isDbSheet="0" isDashBoardSheet="0" isDbDashBoardSheet="0" isFlexPaperSheet="0">
      <cellprotection/>
      <appEtDbRelations/>
    </woSheetProps>
    <woSheetProps sheetStid="19" interlineOnOff="0" interlineColor="0" isDbSheet="0" isDashBoardSheet="0" isDbDashBoardSheet="0" isFlexPaperSheet="0">
      <cellprotection/>
      <appEtDbRelations/>
    </woSheetProps>
    <woSheetProps sheetStid="20" interlineOnOff="0" interlineColor="0" isDbSheet="0" isDashBoardSheet="0" isDbDashBoardSheet="0" isFlexPaperSheet="0">
      <cellprotection/>
      <appEtDbRelations/>
    </woSheetProps>
  </woSheetsProps>
  <woBookProps>
    <bookSettings fileId="439542196563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  <pixelatorList sheetStid="6"/>
  <pixelatorList sheetStid="7"/>
  <pixelatorList sheetStid="8"/>
  <pixelatorList sheetStid="10"/>
  <pixelatorList sheetStid="9"/>
  <pixelatorList sheetStid="11"/>
  <pixelatorList sheetStid="12"/>
  <pixelatorList sheetStid="13"/>
  <pixelatorList sheetStid="14"/>
  <pixelatorList sheetStid="15"/>
  <pixelatorList sheetStid="16"/>
  <pixelatorList sheetStid="17"/>
  <pixelatorList sheetStid="18"/>
  <pixelatorList sheetStid="19"/>
  <pixelatorList sheetStid="20"/>
  <pixelatorList sheetStid="21"/>
</pixelators>
</file>

<file path=customXml/item3.xml><?xml version="1.0" encoding="utf-8"?>
<independentViews xmlns="https://web.wps.cn/et/2018/main"/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A02B7E37-CEC0-4786-9FA4-411A3DC5961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WWO_wpscloud_20250904173343-5eb13ec068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tables</vt:lpstr>
      <vt:lpstr>beans</vt:lpstr>
      <vt:lpstr>enums</vt:lpstr>
      <vt:lpstr>多语言_UI</vt:lpstr>
      <vt:lpstr>多语言_游戏</vt:lpstr>
      <vt:lpstr>游戏_音频</vt:lpstr>
      <vt:lpstr>游戏_单例</vt:lpstr>
      <vt:lpstr>角色_职业</vt:lpstr>
      <vt:lpstr>角色_种族_友方</vt:lpstr>
      <vt:lpstr>角色_冒险者</vt:lpstr>
      <vt:lpstr>角色_预设_友方</vt:lpstr>
      <vt:lpstr>角色_种族_敌方</vt:lpstr>
      <vt:lpstr>角色_预设_敌方</vt:lpstr>
      <vt:lpstr>角色_装备</vt:lpstr>
      <vt:lpstr>角色_奇物</vt:lpstr>
      <vt:lpstr>角色_基础武器</vt:lpstr>
      <vt:lpstr>角色_能力</vt:lpstr>
      <vt:lpstr>战斗_战役</vt:lpstr>
      <vt:lpstr>##游戏名词解释</vt:lpstr>
      <vt:lpstr>##角色_下拉菜单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Spike</cp:lastModifiedBy>
  <dcterms:created xsi:type="dcterms:W3CDTF">2015-06-25T02:19:00Z</dcterms:created>
  <dcterms:modified xsi:type="dcterms:W3CDTF">2025-08-27T01:53:00Z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KSOProductBuildVer">
    <vt:lpwstr>2052-12.9.0.22637</vt:lpwstr>
  </property>
  <property fmtid="{D5CDD505-2E9C-101B-9397-08002B2CF9AE}" pid="4" name="ICV">
    <vt:lpwstr>15F1AB19A5D94B4583D24C78D53AB3A9</vt:lpwstr>
  </property>
</Properties>
</file>